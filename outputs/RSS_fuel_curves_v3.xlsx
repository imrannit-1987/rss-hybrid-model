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Coefficients" sheetId="2" state="visible" r:id="rId4"/>
    <sheet name="Curves L per kWh" sheetId="3" state="visible" r:id="rId5"/>
    <sheet name="Site check" sheetId="4" state="visible" r:id="rId6"/>
    <sheet name="Fleet by family" sheetId="5" state="visible" r:id="rId7"/>
    <sheet name="Model comparison" sheetId="6" state="visible" r:id="rId8"/>
  </sheets>
  <definedNames>
    <definedName function="false" hidden="true" localSheetId="4" name="_xlnm._FilterDatabase" vbProcedure="false">'Fleet by family'!$A$1:$G$221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<sst xmlns="http://schemas.openxmlformats.org/spreadsheetml/2006/main" count="1253" uniqueCount="359">
  <si>
    <t xml:space="preserve">Generator fuel calculator (engine-family model v3)</t>
  </si>
  <si>
    <t xml:space="preserve">Yellow cells are inputs. Fuel per hour = country × rated kW × (a + b×loading + q×loading²). L/kWh = fuel per hour ÷ (rated kW × loading).</t>
  </si>
  <si>
    <t xml:space="preserve">Engine family</t>
  </si>
  <si>
    <t xml:space="preserve">Cummins KTA50 (1250 kVA)</t>
  </si>
  <si>
    <t xml:space="preserve">Country</t>
  </si>
  <si>
    <t xml:space="preserve">UAE</t>
  </si>
  <si>
    <t xml:space="preserve">Rated kVA</t>
  </si>
  <si>
    <t xml:space="preserve">Loading (fraction of rated kW)</t>
  </si>
  <si>
    <t xml:space="preserve">Family options: Cummins KTA50 (1250 kVA), Cummins QSG12 (350 kVA), Cummins QSK23 (800 kVA), Cummins QSL9 (250–300 kVA), Cummins QST30 (1000 kVA), Cummins QSX15 (500 kVA), JCB 448 (125 kVA), JCB 448 (60 kVA), JD 6068 (220 kVA), JD 6090 (300 kVA), Scania DC13 (500 kVA), Volvo TAD1651 (500 kVA), unlisted 200–220 kVA, unlisted 300 kVA, unlisted 500 kVA, unlisted ≤125 kVA</t>
  </si>
  <si>
    <t xml:space="preserve">a (fixed, L per rated-kW-hour)</t>
  </si>
  <si>
    <t xml:space="preserve">b (marginal, L/kWh)</t>
  </si>
  <si>
    <t xml:space="preserve">q (quadratic, L/kWh per unit loading)</t>
  </si>
  <si>
    <t xml:space="preserve">Country multiplier</t>
  </si>
  <si>
    <t xml:space="preserve">Rated kW (kVA × 0.8)</t>
  </si>
  <si>
    <t xml:space="preserve">Fuel at this loading, L/h</t>
  </si>
  <si>
    <t xml:space="preserve">L/kWh at this loading</t>
  </si>
  <si>
    <t xml:space="preserve">L/kWh at 25% / 50% / 75%</t>
  </si>
  <si>
    <t xml:space="preserve">Rated kVA (typical)</t>
  </si>
  <si>
    <t xml:space="preserve">a fixed (L per rated-kW-h)</t>
  </si>
  <si>
    <t xml:space="preserve">b marginal (L/kWh)</t>
  </si>
  <si>
    <t xml:space="preserve">site-months in fit</t>
  </si>
  <si>
    <t xml:space="preserve">sites in fit</t>
  </si>
  <si>
    <t xml:space="preserve">Share of fleet kWh</t>
  </si>
  <si>
    <t xml:space="preserve">q, KSA, UAE</t>
  </si>
  <si>
    <t xml:space="preserve">q (quadratic)</t>
  </si>
  <si>
    <t xml:space="preserve">Cummins QSG12 (350 kVA)</t>
  </si>
  <si>
    <t xml:space="preserve">KSA multiplier</t>
  </si>
  <si>
    <t xml:space="preserve">Cummins QSK23 (800 kVA)</t>
  </si>
  <si>
    <t xml:space="preserve">UAE multiplier</t>
  </si>
  <si>
    <t xml:space="preserve">Cummins QSL9 (250–300 kVA)</t>
  </si>
  <si>
    <t xml:space="preserve">Cummins QST30 (1000 kVA)</t>
  </si>
  <si>
    <t xml:space="preserve">Cummins QSX15 (500 kVA)</t>
  </si>
  <si>
    <t xml:space="preserve">JCB 448 (125 kVA)</t>
  </si>
  <si>
    <t xml:space="preserve">JCB 448 (60 kVA)</t>
  </si>
  <si>
    <t xml:space="preserve">JD 6068 (220 kVA)</t>
  </si>
  <si>
    <t xml:space="preserve">JD 6090 (300 kVA)</t>
  </si>
  <si>
    <t xml:space="preserve">Scania DC13 (500 kVA)</t>
  </si>
  <si>
    <t xml:space="preserve">Volvo TAD1651 (500 kVA)</t>
  </si>
  <si>
    <t xml:space="preserve">unlisted 200–220 kVA</t>
  </si>
  <si>
    <t xml:space="preserve">unlisted 300 kVA</t>
  </si>
  <si>
    <t xml:space="preserve">unlisted 500 kVA</t>
  </si>
  <si>
    <t xml:space="preserve">unlisted ≤125 kVA</t>
  </si>
  <si>
    <t xml:space="preserve">Fitted on 384 site-months (Jan 2025–Sep 2026) from 37 sites: monthly-report fuel vs hourly unit counters, leave-one-site-out tested. Families from the RSS generator list (Oct 2026). "unlisted" = units with no make/model in the list.</t>
  </si>
  <si>
    <t xml:space="preserve">25%</t>
  </si>
  <si>
    <t xml:space="preserve">35%</t>
  </si>
  <si>
    <t xml:space="preserve">50%</t>
  </si>
  <si>
    <t xml:space="preserve">75%</t>
  </si>
  <si>
    <t xml:space="preserve">35% low (p10)</t>
  </si>
  <si>
    <t xml:space="preserve">35% high (p90)</t>
  </si>
  <si>
    <t xml:space="preserve">KSA</t>
  </si>
  <si>
    <t xml:space="preserve">Low/high = 10th–90th percentile from 120 site-bootstrap refits. Loading = unit output ÷ rated kW (kVA × 0.8).</t>
  </si>
  <si>
    <t xml:space="preserve">Site</t>
  </si>
  <si>
    <t xml:space="preserve">Months</t>
  </si>
  <si>
    <t xml:space="preserve">Actual fuel (L)</t>
  </si>
  <si>
    <t xml:space="preserve">Predicted, site left out (L)</t>
  </si>
  <si>
    <t xml:space="preserve">Error</t>
  </si>
  <si>
    <t xml:space="preserve">|Error|</t>
  </si>
  <si>
    <t xml:space="preserve">KSA - Sprint - I</t>
  </si>
  <si>
    <t xml:space="preserve">UAE - Innovo Build - S</t>
  </si>
  <si>
    <t xml:space="preserve">KSA - MBL Opera - S</t>
  </si>
  <si>
    <t xml:space="preserve">UAE - Specialist - C</t>
  </si>
  <si>
    <t xml:space="preserve">UAE - EAST VILLE Fujeirah - C</t>
  </si>
  <si>
    <t xml:space="preserve">UAE - Galfar - C</t>
  </si>
  <si>
    <t xml:space="preserve">KSA - Namareq KAEC - C</t>
  </si>
  <si>
    <t xml:space="preserve">UAE - ENATA - I</t>
  </si>
  <si>
    <t xml:space="preserve">UAE - Intermass - S</t>
  </si>
  <si>
    <t xml:space="preserve">KSA - Crystal Rabigh - C</t>
  </si>
  <si>
    <t xml:space="preserve">KSA - ARCC (H) - C</t>
  </si>
  <si>
    <t xml:space="preserve">UAE - Natural Fragrances - I</t>
  </si>
  <si>
    <t xml:space="preserve">UAE - Nordic - I</t>
  </si>
  <si>
    <t xml:space="preserve">KSA - Formula Arabia - C</t>
  </si>
  <si>
    <t xml:space="preserve">KSA - MBL JCD Opera - S</t>
  </si>
  <si>
    <t xml:space="preserve">KSA - AYTB Jubail - C</t>
  </si>
  <si>
    <t xml:space="preserve">UAE - SJ ABED - C</t>
  </si>
  <si>
    <t xml:space="preserve">KSA - Ramz Al Akhwa - C</t>
  </si>
  <si>
    <t xml:space="preserve">UAE - Seven Brothers - C</t>
  </si>
  <si>
    <t xml:space="preserve">KSA - Afnan - C</t>
  </si>
  <si>
    <t xml:space="preserve">KSA - MBL Camp - C</t>
  </si>
  <si>
    <t xml:space="preserve">KSA - ARAMCO PMT - C</t>
  </si>
  <si>
    <t xml:space="preserve">KSA - Fame Fardani - C</t>
  </si>
  <si>
    <t xml:space="preserve">KSA - AYTB Harad - C</t>
  </si>
  <si>
    <t xml:space="preserve">KSA - MBL Oceanarium - S</t>
  </si>
  <si>
    <t xml:space="preserve">UAE - Arabian Industries - C</t>
  </si>
  <si>
    <t xml:space="preserve">UAE - Al Dar - S</t>
  </si>
  <si>
    <t xml:space="preserve">UAE - MNH Fujairah - C</t>
  </si>
  <si>
    <t xml:space="preserve">UAE - KITOPI Alqouz- I</t>
  </si>
  <si>
    <t xml:space="preserve">UAE - Target - C</t>
  </si>
  <si>
    <t xml:space="preserve">UAE - UG Camp - C</t>
  </si>
  <si>
    <t xml:space="preserve">UAE - EAST VILLE Hubshan - C</t>
  </si>
  <si>
    <t xml:space="preserve">UAE - Trans Asia - I</t>
  </si>
  <si>
    <t xml:space="preserve">KSA - Namariq Jizan - C</t>
  </si>
  <si>
    <t xml:space="preserve">UAE - Techshore - I</t>
  </si>
  <si>
    <t xml:space="preserve">UAE - AL Saida Fujeirah - C</t>
  </si>
  <si>
    <t xml:space="preserve">KSA - KENT - C</t>
  </si>
  <si>
    <t xml:space="preserve">Median |error|</t>
  </si>
  <si>
    <t xml:space="preserve">Each site predicted with curves fitted on the other 36 sites, using the units that actually ran. KENT is the only Scania DC13 site, so left out it falls back to a generic 500 kVA curve.</t>
  </si>
  <si>
    <t xml:space="preserve">Device</t>
  </si>
  <si>
    <t xml:space="preserve">Family</t>
  </si>
  <si>
    <t xml:space="preserve">Make</t>
  </si>
  <si>
    <t xml:space="preserve">Engine</t>
  </si>
  <si>
    <t xml:space="preserve">Year</t>
  </si>
  <si>
    <t xml:space="preserve">Running hours</t>
  </si>
  <si>
    <t xml:space="preserve">GS-1250-003</t>
  </si>
  <si>
    <t xml:space="preserve">CUMMINS</t>
  </si>
  <si>
    <t xml:space="preserve">KTA50-G3</t>
  </si>
  <si>
    <t xml:space="preserve">GS-1250-006</t>
  </si>
  <si>
    <t xml:space="preserve">KTA50 G3</t>
  </si>
  <si>
    <t xml:space="preserve">GS-1250-010</t>
  </si>
  <si>
    <t xml:space="preserve">GS-1250-029</t>
  </si>
  <si>
    <t xml:space="preserve">GS-1250-030</t>
  </si>
  <si>
    <t xml:space="preserve">GS-1250-032</t>
  </si>
  <si>
    <t xml:space="preserve">GS-1250-036</t>
  </si>
  <si>
    <t xml:space="preserve">GS-1250-038</t>
  </si>
  <si>
    <t xml:space="preserve">GS-1250-041</t>
  </si>
  <si>
    <t xml:space="preserve">GS-1250-056</t>
  </si>
  <si>
    <t xml:space="preserve">GS-1250-058</t>
  </si>
  <si>
    <t xml:space="preserve">GS-1250-059</t>
  </si>
  <si>
    <t xml:space="preserve">GS-1250-060</t>
  </si>
  <si>
    <t xml:space="preserve">GS-1250-061</t>
  </si>
  <si>
    <t xml:space="preserve">GS-1250-064</t>
  </si>
  <si>
    <t xml:space="preserve">GS-1250-068</t>
  </si>
  <si>
    <t xml:space="preserve">GS-1250-071</t>
  </si>
  <si>
    <t xml:space="preserve">GS-1250-075</t>
  </si>
  <si>
    <t xml:space="preserve">GS-1250-076</t>
  </si>
  <si>
    <t xml:space="preserve">GS-1250-083</t>
  </si>
  <si>
    <t xml:space="preserve">GS-1250-086</t>
  </si>
  <si>
    <t xml:space="preserve">GS-1250-091</t>
  </si>
  <si>
    <t xml:space="preserve">GS-1250-092</t>
  </si>
  <si>
    <t xml:space="preserve">GS-350-019</t>
  </si>
  <si>
    <t xml:space="preserve">QSG12-G1</t>
  </si>
  <si>
    <t xml:space="preserve">GS-350-020</t>
  </si>
  <si>
    <t xml:space="preserve">GS-350-021</t>
  </si>
  <si>
    <t xml:space="preserve">GS-350-022</t>
  </si>
  <si>
    <t xml:space="preserve">GS-800-024</t>
  </si>
  <si>
    <t xml:space="preserve">QSK23-G3</t>
  </si>
  <si>
    <t xml:space="preserve">GS-800-025</t>
  </si>
  <si>
    <t xml:space="preserve">GS-800-026</t>
  </si>
  <si>
    <t xml:space="preserve">GS-800-027</t>
  </si>
  <si>
    <t xml:space="preserve">GS-800-028</t>
  </si>
  <si>
    <t xml:space="preserve">GS-800-029</t>
  </si>
  <si>
    <t xml:space="preserve">GS-800-030</t>
  </si>
  <si>
    <t xml:space="preserve">GS-800-031</t>
  </si>
  <si>
    <t xml:space="preserve">GS-800-032</t>
  </si>
  <si>
    <t xml:space="preserve">GS-800-033</t>
  </si>
  <si>
    <t xml:space="preserve">GS-250-001</t>
  </si>
  <si>
    <t xml:space="preserve">QSL9-G5</t>
  </si>
  <si>
    <t xml:space="preserve">GS-250-002</t>
  </si>
  <si>
    <t xml:space="preserve">GS-250-003</t>
  </si>
  <si>
    <t xml:space="preserve">GS-300-132</t>
  </si>
  <si>
    <t xml:space="preserve">JCB</t>
  </si>
  <si>
    <t xml:space="preserve">CUMMINS - QSL9 G5</t>
  </si>
  <si>
    <t xml:space="preserve">GS-300-133</t>
  </si>
  <si>
    <t xml:space="preserve">GS-300-134</t>
  </si>
  <si>
    <t xml:space="preserve">GS-1000-002</t>
  </si>
  <si>
    <t xml:space="preserve">QST30-G4</t>
  </si>
  <si>
    <t xml:space="preserve">GS-1000-009</t>
  </si>
  <si>
    <t xml:space="preserve">GS-1000-023</t>
  </si>
  <si>
    <t xml:space="preserve">GS-1000-023 - N</t>
  </si>
  <si>
    <t xml:space="preserve">GS-1000-023-N</t>
  </si>
  <si>
    <t xml:space="preserve">GS-1000-038</t>
  </si>
  <si>
    <t xml:space="preserve">GS-1000-046</t>
  </si>
  <si>
    <t xml:space="preserve">GS-1000-047</t>
  </si>
  <si>
    <t xml:space="preserve">UAE → KSA</t>
  </si>
  <si>
    <t xml:space="preserve">GS-1000-053</t>
  </si>
  <si>
    <t xml:space="preserve">GS-1000-055</t>
  </si>
  <si>
    <t xml:space="preserve">GS-1000-074</t>
  </si>
  <si>
    <t xml:space="preserve">GS-1000-075</t>
  </si>
  <si>
    <t xml:space="preserve">GS-1000-076</t>
  </si>
  <si>
    <t xml:space="preserve">GS-1000-077</t>
  </si>
  <si>
    <t xml:space="preserve">GS-500-017</t>
  </si>
  <si>
    <t xml:space="preserve">QSX15-G8</t>
  </si>
  <si>
    <t xml:space="preserve">GS-500-038</t>
  </si>
  <si>
    <t xml:space="preserve">GS-500-040</t>
  </si>
  <si>
    <t xml:space="preserve">QSX15</t>
  </si>
  <si>
    <t xml:space="preserve">GS-500-042</t>
  </si>
  <si>
    <t xml:space="preserve">GS-500-048</t>
  </si>
  <si>
    <t xml:space="preserve">GS-500-050</t>
  </si>
  <si>
    <t xml:space="preserve">GS-500-065</t>
  </si>
  <si>
    <t xml:space="preserve">GS-500-066</t>
  </si>
  <si>
    <t xml:space="preserve">GS-500-067</t>
  </si>
  <si>
    <t xml:space="preserve">GS-500-070</t>
  </si>
  <si>
    <t xml:space="preserve">GS-500-072</t>
  </si>
  <si>
    <t xml:space="preserve">GS-500-073</t>
  </si>
  <si>
    <t xml:space="preserve">GS-125-070</t>
  </si>
  <si>
    <t xml:space="preserve">JCB 448 TGAG-121</t>
  </si>
  <si>
    <t xml:space="preserve">GS-125-072</t>
  </si>
  <si>
    <t xml:space="preserve">GS-125-080</t>
  </si>
  <si>
    <t xml:space="preserve">GS-125-084</t>
  </si>
  <si>
    <t xml:space="preserve">GS-125-086</t>
  </si>
  <si>
    <t xml:space="preserve">JCB 448 G-TCA 120</t>
  </si>
  <si>
    <t xml:space="preserve">GS-125-090</t>
  </si>
  <si>
    <t xml:space="preserve">GS-125-091</t>
  </si>
  <si>
    <t xml:space="preserve">GS-125-095</t>
  </si>
  <si>
    <t xml:space="preserve">GS-125-099</t>
  </si>
  <si>
    <t xml:space="preserve">GS-125-100</t>
  </si>
  <si>
    <t xml:space="preserve">GS-125-104</t>
  </si>
  <si>
    <t xml:space="preserve">GS-125-105</t>
  </si>
  <si>
    <t xml:space="preserve">GS-125-105 BH need to confirm sim card</t>
  </si>
  <si>
    <t xml:space="preserve">GS-125-107</t>
  </si>
  <si>
    <t xml:space="preserve">GS-125-108</t>
  </si>
  <si>
    <t xml:space="preserve">GS-125-111</t>
  </si>
  <si>
    <t xml:space="preserve">GS-125-113</t>
  </si>
  <si>
    <t xml:space="preserve">GS-125-113 BH need to confirm sim card</t>
  </si>
  <si>
    <t xml:space="preserve">GS-125-117</t>
  </si>
  <si>
    <t xml:space="preserve">GS-125-125</t>
  </si>
  <si>
    <t xml:space="preserve">GS-125-126</t>
  </si>
  <si>
    <t xml:space="preserve">GS-125-128</t>
  </si>
  <si>
    <t xml:space="preserve">GS-125-141</t>
  </si>
  <si>
    <t xml:space="preserve">GS-125-144</t>
  </si>
  <si>
    <t xml:space="preserve">GS-125-148</t>
  </si>
  <si>
    <t xml:space="preserve">GS-125-149</t>
  </si>
  <si>
    <t xml:space="preserve">GS-125-151</t>
  </si>
  <si>
    <t xml:space="preserve">GS-125-152</t>
  </si>
  <si>
    <t xml:space="preserve">GS-125-153</t>
  </si>
  <si>
    <t xml:space="preserve">GS-125-154</t>
  </si>
  <si>
    <t xml:space="preserve">GS-125-154 - N</t>
  </si>
  <si>
    <t xml:space="preserve">GS-125-156</t>
  </si>
  <si>
    <t xml:space="preserve">GS-125-162</t>
  </si>
  <si>
    <t xml:space="preserve">GS-125-163</t>
  </si>
  <si>
    <t xml:space="preserve">GS-125-164</t>
  </si>
  <si>
    <t xml:space="preserve">GS-125-169</t>
  </si>
  <si>
    <t xml:space="preserve">GS-125-172</t>
  </si>
  <si>
    <t xml:space="preserve">GS-60-050</t>
  </si>
  <si>
    <t xml:space="preserve">JCB 448 TG-60</t>
  </si>
  <si>
    <t xml:space="preserve">GS-60-051</t>
  </si>
  <si>
    <t xml:space="preserve">GS-60-098</t>
  </si>
  <si>
    <t xml:space="preserve">GS-220-032</t>
  </si>
  <si>
    <t xml:space="preserve">JOHN DEERE 6068HFU82</t>
  </si>
  <si>
    <t xml:space="preserve">GS-220-033</t>
  </si>
  <si>
    <t xml:space="preserve">GS-220-040</t>
  </si>
  <si>
    <t xml:space="preserve">JOHN DEERE - 6068HFU82</t>
  </si>
  <si>
    <t xml:space="preserve">GS-220-043</t>
  </si>
  <si>
    <t xml:space="preserve">GS-220-044</t>
  </si>
  <si>
    <t xml:space="preserve">GS-220-050</t>
  </si>
  <si>
    <t xml:space="preserve">GS-220-063</t>
  </si>
  <si>
    <t xml:space="preserve">GS-220-067</t>
  </si>
  <si>
    <t xml:space="preserve">GS-220-069</t>
  </si>
  <si>
    <t xml:space="preserve">GS-220-070</t>
  </si>
  <si>
    <t xml:space="preserve">GS-220-072</t>
  </si>
  <si>
    <t xml:space="preserve">GS-220-083</t>
  </si>
  <si>
    <t xml:space="preserve">GS-220-087</t>
  </si>
  <si>
    <t xml:space="preserve">GS-220-088</t>
  </si>
  <si>
    <t xml:space="preserve">GS-220-090</t>
  </si>
  <si>
    <t xml:space="preserve">GS-220-091</t>
  </si>
  <si>
    <t xml:space="preserve">GS-220-122</t>
  </si>
  <si>
    <t xml:space="preserve">GS-220-126</t>
  </si>
  <si>
    <t xml:space="preserve">GS-220-129</t>
  </si>
  <si>
    <t xml:space="preserve">GS-220-130</t>
  </si>
  <si>
    <t xml:space="preserve">GS-220-136</t>
  </si>
  <si>
    <t xml:space="preserve">GS-300-035</t>
  </si>
  <si>
    <t xml:space="preserve">JOHN DEERE - 6090HFU84</t>
  </si>
  <si>
    <t xml:space="preserve">GS-300-038</t>
  </si>
  <si>
    <t xml:space="preserve">GS-300-039</t>
  </si>
  <si>
    <t xml:space="preserve">GS-300-046</t>
  </si>
  <si>
    <t xml:space="preserve">GS-300-050</t>
  </si>
  <si>
    <t xml:space="preserve">GS-300-054</t>
  </si>
  <si>
    <t xml:space="preserve">GS-300-056</t>
  </si>
  <si>
    <t xml:space="preserve">GS-300-065</t>
  </si>
  <si>
    <t xml:space="preserve">JOHN DEERE-6090HFU84</t>
  </si>
  <si>
    <t xml:space="preserve">GS-300-067</t>
  </si>
  <si>
    <t xml:space="preserve">GS-300-068</t>
  </si>
  <si>
    <t xml:space="preserve">GS-300-074</t>
  </si>
  <si>
    <t xml:space="preserve">GS-300-076</t>
  </si>
  <si>
    <t xml:space="preserve">GS-300-079</t>
  </si>
  <si>
    <t xml:space="preserve">GS-300-080</t>
  </si>
  <si>
    <t xml:space="preserve">GS-300-082</t>
  </si>
  <si>
    <t xml:space="preserve">GS-300-084 new</t>
  </si>
  <si>
    <t xml:space="preserve">GS-300-086</t>
  </si>
  <si>
    <t xml:space="preserve">GS-300-088</t>
  </si>
  <si>
    <t xml:space="preserve">GS-300-091</t>
  </si>
  <si>
    <t xml:space="preserve">GS-300-093</t>
  </si>
  <si>
    <t xml:space="preserve">GS-300-095</t>
  </si>
  <si>
    <t xml:space="preserve">GS-300-096</t>
  </si>
  <si>
    <t xml:space="preserve">GS-300-098</t>
  </si>
  <si>
    <t xml:space="preserve">GS-300-099</t>
  </si>
  <si>
    <t xml:space="preserve">GS-300-101</t>
  </si>
  <si>
    <t xml:space="preserve">GS-300-102</t>
  </si>
  <si>
    <t xml:space="preserve">GS-300-113</t>
  </si>
  <si>
    <t xml:space="preserve">GS-300-113 BH need to confirm sim card</t>
  </si>
  <si>
    <t xml:space="preserve">GS-300-116</t>
  </si>
  <si>
    <t xml:space="preserve">GS-300-117</t>
  </si>
  <si>
    <t xml:space="preserve">GS-300-119</t>
  </si>
  <si>
    <t xml:space="preserve">GS-300-121</t>
  </si>
  <si>
    <t xml:space="preserve">GS-300-123</t>
  </si>
  <si>
    <t xml:space="preserve">GS-300-127</t>
  </si>
  <si>
    <t xml:space="preserve">GS-500-113</t>
  </si>
  <si>
    <t xml:space="preserve">SCANIA</t>
  </si>
  <si>
    <t xml:space="preserve">DC13 072A</t>
  </si>
  <si>
    <t xml:space="preserve">GS-500-114</t>
  </si>
  <si>
    <t xml:space="preserve">GS-500-115</t>
  </si>
  <si>
    <t xml:space="preserve">GS-500-116</t>
  </si>
  <si>
    <t xml:space="preserve">GS-500-117</t>
  </si>
  <si>
    <t xml:space="preserve">GS-500-118</t>
  </si>
  <si>
    <t xml:space="preserve">GS-500-074</t>
  </si>
  <si>
    <t xml:space="preserve">VOLVO - TAD1651GE</t>
  </si>
  <si>
    <t xml:space="preserve">GS-500-074 - N</t>
  </si>
  <si>
    <t xml:space="preserve">GS-500-075</t>
  </si>
  <si>
    <t xml:space="preserve">GS-500-076</t>
  </si>
  <si>
    <t xml:space="preserve">GS-500-077</t>
  </si>
  <si>
    <t xml:space="preserve">GS-500-078</t>
  </si>
  <si>
    <t xml:space="preserve">GS-500-079</t>
  </si>
  <si>
    <t xml:space="preserve">GS-500-080</t>
  </si>
  <si>
    <t xml:space="preserve">GS-500-081</t>
  </si>
  <si>
    <t xml:space="preserve">GS-500-082</t>
  </si>
  <si>
    <t xml:space="preserve">GS-500-083</t>
  </si>
  <si>
    <t xml:space="preserve">GS-500-084</t>
  </si>
  <si>
    <t xml:space="preserve">GS-500-084 - N</t>
  </si>
  <si>
    <t xml:space="preserve">GS-500-085</t>
  </si>
  <si>
    <t xml:space="preserve">GS-500-086</t>
  </si>
  <si>
    <t xml:space="preserve">GS-500-087</t>
  </si>
  <si>
    <t xml:space="preserve">GS-500-091</t>
  </si>
  <si>
    <t xml:space="preserve">GS-500-092</t>
  </si>
  <si>
    <t xml:space="preserve">GS-500-093</t>
  </si>
  <si>
    <t xml:space="preserve">GS-500-094</t>
  </si>
  <si>
    <t xml:space="preserve">GS-500-096</t>
  </si>
  <si>
    <t xml:space="preserve">GS-500-097</t>
  </si>
  <si>
    <t xml:space="preserve">GS-500-098</t>
  </si>
  <si>
    <t xml:space="preserve">GS-500-104</t>
  </si>
  <si>
    <t xml:space="preserve">GS-500-104 - N</t>
  </si>
  <si>
    <t xml:space="preserve">GS-500-105</t>
  </si>
  <si>
    <t xml:space="preserve">GS-500-106</t>
  </si>
  <si>
    <t xml:space="preserve">GS-500-107</t>
  </si>
  <si>
    <t xml:space="preserve">GS-500-108</t>
  </si>
  <si>
    <t xml:space="preserve">GS-500-109</t>
  </si>
  <si>
    <t xml:space="preserve">GS-500-110</t>
  </si>
  <si>
    <t xml:space="preserve">GS-500-111</t>
  </si>
  <si>
    <t xml:space="preserve">GS-500-112</t>
  </si>
  <si>
    <t xml:space="preserve">GS.500.077 New</t>
  </si>
  <si>
    <t xml:space="preserve">CH-1125-1363</t>
  </si>
  <si>
    <t xml:space="preserve">unlisted</t>
  </si>
  <si>
    <t xml:space="preserve">CH-300-388</t>
  </si>
  <si>
    <t xml:space="preserve">CH-500-171</t>
  </si>
  <si>
    <t xml:space="preserve">CH-500-185</t>
  </si>
  <si>
    <t xml:space="preserve">CH-500-330</t>
  </si>
  <si>
    <t xml:space="preserve">CH-500-341</t>
  </si>
  <si>
    <t xml:space="preserve">CH-500-342</t>
  </si>
  <si>
    <t xml:space="preserve">CH-500-426</t>
  </si>
  <si>
    <t xml:space="preserve">CH-500-440</t>
  </si>
  <si>
    <t xml:space="preserve">GS-300-388</t>
  </si>
  <si>
    <t xml:space="preserve">GS-500-044 CH</t>
  </si>
  <si>
    <t xml:space="preserve">GS-500-045 CH</t>
  </si>
  <si>
    <t xml:space="preserve">GS-500-330</t>
  </si>
  <si>
    <t xml:space="preserve">GS-500-336</t>
  </si>
  <si>
    <t xml:space="preserve">GS-500-338</t>
  </si>
  <si>
    <t xml:space="preserve">GS-500-341</t>
  </si>
  <si>
    <t xml:space="preserve">Model</t>
  </si>
  <si>
    <t xml:space="preserve">Site-months</t>
  </si>
  <si>
    <t xml:space="preserve">In-sample median</t>
  </si>
  <si>
    <t xml:space="preserve">Leave-one-site-out: month median</t>
  </si>
  <si>
    <t xml:space="preserve">month p90</t>
  </si>
  <si>
    <t xml:space="preserve">bias</t>
  </si>
  <si>
    <t xml:space="preserve">site median</t>
  </si>
  <si>
    <t xml:space="preserve">site p90</t>
  </si>
  <si>
    <t xml:space="preserve">site worst</t>
  </si>
  <si>
    <t xml:space="preserve">2026 test (fit on 2025): median</t>
  </si>
  <si>
    <t xml:space="preserve">kVA classes, no country</t>
  </si>
  <si>
    <t xml:space="preserve">kVA classes + country</t>
  </si>
  <si>
    <t xml:space="preserve">engine families, no country</t>
  </si>
  <si>
    <t xml:space="preserve">engine families + country</t>
  </si>
</sst>
</file>

<file path=xl/styles.xml><?xml version="1.0" encoding="utf-8"?>
<styleSheet xmlns="http://schemas.openxmlformats.org/spreadsheetml/2006/main">
  <numFmts count="5">
    <numFmt numFmtId="164" formatCode="General"/>
    <numFmt numFmtId="165" formatCode="0.0000"/>
    <numFmt numFmtId="166" formatCode="0.000"/>
    <numFmt numFmtId="167" formatCode="#,##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1"/>
      <name val="Arial"/>
      <family val="0"/>
      <charset val="1"/>
    </font>
    <font>
      <b val="true"/>
      <sz val="11"/>
      <name val="Arial"/>
      <family val="0"/>
      <charset val="1"/>
    </font>
    <font>
      <sz val="11"/>
      <name val="Arial"/>
      <family val="0"/>
      <charset val="1"/>
    </font>
    <font>
      <i val="true"/>
      <sz val="9"/>
      <name val="Arial"/>
      <family val="0"/>
      <charset val="1"/>
    </font>
    <font>
      <b val="true"/>
      <sz val="11"/>
      <color rgb="FFFFFFFF"/>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1F4E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s>
  <sheetData>
    <row r="1" customFormat="false" ht="15.7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t="s">
        <v>3</v>
      </c>
    </row>
    <row r="5" customFormat="false" ht="15" hidden="false" customHeight="true" outlineLevel="0" collapsed="false">
      <c r="A5" s="4" t="s">
        <v>4</v>
      </c>
      <c r="B5" s="5" t="s">
        <v>5</v>
      </c>
    </row>
    <row r="6" customFormat="false" ht="15" hidden="false" customHeight="true" outlineLevel="0" collapsed="false">
      <c r="A6" s="4" t="s">
        <v>6</v>
      </c>
      <c r="B6" s="5" t="n">
        <v>500</v>
      </c>
    </row>
    <row r="7" customFormat="false" ht="15" hidden="false" customHeight="true" outlineLevel="0" collapsed="false">
      <c r="A7" s="4" t="s">
        <v>7</v>
      </c>
      <c r="B7" s="5" t="n">
        <v>0.35</v>
      </c>
    </row>
    <row r="8" customFormat="false" ht="15" hidden="false" customHeight="true" outlineLevel="0" collapsed="false">
      <c r="A8" s="6" t="s">
        <v>8</v>
      </c>
    </row>
    <row r="10" customFormat="false" ht="15" hidden="false" customHeight="true" outlineLevel="0" collapsed="false">
      <c r="A10" s="7" t="s">
        <v>9</v>
      </c>
      <c r="B10" s="8" t="n">
        <f aca="false">INDEX(Coefficients!$C$2:$C$40,MATCH($B$4,Coefficients!$A$2:$A$40,0))</f>
        <v>0.0405469594633366</v>
      </c>
    </row>
    <row r="11" customFormat="false" ht="15" hidden="false" customHeight="true" outlineLevel="0" collapsed="false">
      <c r="A11" s="7" t="s">
        <v>10</v>
      </c>
      <c r="B11" s="8" t="n">
        <f aca="false">INDEX(Coefficients!$D$2:$D$40,MATCH($B$4,Coefficients!$A$2:$A$40,0))</f>
        <v>0.179763704137084</v>
      </c>
    </row>
    <row r="12" customFormat="false" ht="15" hidden="false" customHeight="true" outlineLevel="0" collapsed="false">
      <c r="A12" s="7" t="s">
        <v>11</v>
      </c>
      <c r="B12" s="1" t="n">
        <f aca="false">Coefficients!$H$2</f>
        <v>0.0786936311960878</v>
      </c>
    </row>
    <row r="13" customFormat="false" ht="15" hidden="false" customHeight="true" outlineLevel="0" collapsed="false">
      <c r="A13" s="7" t="s">
        <v>12</v>
      </c>
      <c r="B13" s="1" t="n">
        <f aca="false">IF($B$5="KSA",Coefficients!$H$3,Coefficients!$H$4)</f>
        <v>0.97128494194795</v>
      </c>
    </row>
    <row r="14" customFormat="false" ht="15" hidden="false" customHeight="true" outlineLevel="0" collapsed="false">
      <c r="A14" s="7" t="s">
        <v>13</v>
      </c>
      <c r="B14" s="1" t="n">
        <f aca="false">B6*0.8</f>
        <v>400</v>
      </c>
    </row>
    <row r="15" customFormat="false" ht="15" hidden="false" customHeight="true" outlineLevel="0" collapsed="false">
      <c r="A15" s="7" t="s">
        <v>14</v>
      </c>
      <c r="B15" s="9" t="n">
        <f aca="false">B13*B14*(B10+B11*B7+B12*B7^2)</f>
        <v>43.9425725299945</v>
      </c>
      <c r="C15" s="9"/>
      <c r="D15" s="9"/>
    </row>
    <row r="16" customFormat="false" ht="15" hidden="false" customHeight="true" outlineLevel="0" collapsed="false">
      <c r="A16" s="7" t="s">
        <v>15</v>
      </c>
      <c r="B16" s="9" t="n">
        <f aca="false">B15/(B14*B7)</f>
        <v>0.313875518071389</v>
      </c>
      <c r="C16" s="9"/>
      <c r="D16" s="9"/>
    </row>
    <row r="17" customFormat="false" ht="15" hidden="false" customHeight="true" outlineLevel="0" collapsed="false">
      <c r="A17" s="7" t="s">
        <v>16</v>
      </c>
      <c r="B17" s="9" t="n">
        <f aca="false">B13*(B11+B10/0.25+B12*0.25)</f>
        <v>0.351240868363179</v>
      </c>
      <c r="C17" s="9" t="n">
        <f aca="false">B13*(B11+B10/0.5+B12*0.5)</f>
        <v>0.291584050778144</v>
      </c>
      <c r="D17" s="9" t="n">
        <f aca="false">B13*(B11+B10/0.75+B12*0.75)</f>
        <v>0.284437434751127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21"/>
    <col collapsed="false" customWidth="true" hidden="false" outlineLevel="0" max="3" min="3" style="1" width="28"/>
    <col collapsed="false" customWidth="true" hidden="false" outlineLevel="0" max="4" min="4" style="1" width="21"/>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21"/>
    <col collapsed="false" customWidth="true" hidden="false" outlineLevel="0" max="9" min="9" style="1" width="16"/>
  </cols>
  <sheetData>
    <row r="1" customFormat="false" ht="15" hidden="false" customHeight="true" outlineLevel="0" collapsed="false">
      <c r="A1" s="10" t="s">
        <v>2</v>
      </c>
      <c r="B1" s="10" t="s">
        <v>17</v>
      </c>
      <c r="C1" s="10" t="s">
        <v>18</v>
      </c>
      <c r="D1" s="10" t="s">
        <v>19</v>
      </c>
      <c r="E1" s="10" t="s">
        <v>20</v>
      </c>
      <c r="F1" s="10" t="s">
        <v>21</v>
      </c>
      <c r="G1" s="10" t="s">
        <v>22</v>
      </c>
      <c r="H1" s="10" t="s">
        <v>23</v>
      </c>
    </row>
    <row r="2" customFormat="false" ht="15" hidden="false" customHeight="true" outlineLevel="0" collapsed="false">
      <c r="A2" s="7" t="s">
        <v>3</v>
      </c>
      <c r="B2" s="7" t="n">
        <v>1250</v>
      </c>
      <c r="C2" s="11" t="n">
        <v>0.0405469594633366</v>
      </c>
      <c r="D2" s="11" t="n">
        <v>0.179763704137084</v>
      </c>
      <c r="E2" s="7" t="n">
        <v>66</v>
      </c>
      <c r="F2" s="7" t="n">
        <v>8</v>
      </c>
      <c r="G2" s="7" t="n">
        <v>0.3255</v>
      </c>
      <c r="H2" s="7" t="n">
        <v>0.0786936311960878</v>
      </c>
      <c r="I2" s="7" t="s">
        <v>24</v>
      </c>
    </row>
    <row r="3" customFormat="false" ht="15" hidden="false" customHeight="true" outlineLevel="0" collapsed="false">
      <c r="A3" s="7" t="s">
        <v>25</v>
      </c>
      <c r="B3" s="7" t="n">
        <v>350</v>
      </c>
      <c r="C3" s="11" t="n">
        <v>0.0414245752700467</v>
      </c>
      <c r="D3" s="11" t="n">
        <v>0.185156273278376</v>
      </c>
      <c r="E3" s="7" t="n">
        <v>45</v>
      </c>
      <c r="F3" s="7" t="n">
        <v>8</v>
      </c>
      <c r="G3" s="7" t="n">
        <v>0.0198</v>
      </c>
      <c r="H3" s="7" t="n">
        <v>1.05379616232277</v>
      </c>
      <c r="I3" s="7" t="s">
        <v>26</v>
      </c>
    </row>
    <row r="4" customFormat="false" ht="15" hidden="false" customHeight="true" outlineLevel="0" collapsed="false">
      <c r="A4" s="7" t="s">
        <v>27</v>
      </c>
      <c r="B4" s="7" t="n">
        <v>800</v>
      </c>
      <c r="C4" s="11" t="n">
        <v>0.0319301491748328</v>
      </c>
      <c r="D4" s="11" t="n">
        <v>0.184694952149455</v>
      </c>
      <c r="E4" s="7" t="n">
        <v>75</v>
      </c>
      <c r="F4" s="7" t="n">
        <v>7</v>
      </c>
      <c r="G4" s="7" t="n">
        <v>0.1606</v>
      </c>
      <c r="H4" s="7" t="n">
        <v>0.97128494194795</v>
      </c>
      <c r="I4" s="7" t="s">
        <v>28</v>
      </c>
    </row>
    <row r="5" customFormat="false" ht="15" hidden="false" customHeight="true" outlineLevel="0" collapsed="false">
      <c r="A5" s="7" t="s">
        <v>29</v>
      </c>
      <c r="B5" s="7" t="n">
        <v>300</v>
      </c>
      <c r="C5" s="11" t="n">
        <v>0.0403569841972031</v>
      </c>
      <c r="D5" s="11" t="n">
        <v>0.196910192481137</v>
      </c>
      <c r="E5" s="7" t="n">
        <v>48</v>
      </c>
      <c r="F5" s="7" t="n">
        <v>7</v>
      </c>
      <c r="G5" s="7" t="n">
        <v>0.0161</v>
      </c>
      <c r="H5" s="7"/>
      <c r="I5" s="7"/>
    </row>
    <row r="6" customFormat="false" ht="15" hidden="false" customHeight="true" outlineLevel="0" collapsed="false">
      <c r="A6" s="7" t="s">
        <v>30</v>
      </c>
      <c r="B6" s="7" t="n">
        <v>1000</v>
      </c>
      <c r="C6" s="11" t="n">
        <v>0.0187544555498544</v>
      </c>
      <c r="D6" s="11" t="n">
        <v>0.207775903954223</v>
      </c>
      <c r="E6" s="7" t="n">
        <v>69</v>
      </c>
      <c r="F6" s="7" t="n">
        <v>7</v>
      </c>
      <c r="G6" s="7" t="n">
        <v>0.1163</v>
      </c>
      <c r="H6" s="7"/>
      <c r="I6" s="7"/>
    </row>
    <row r="7" customFormat="false" ht="15" hidden="false" customHeight="true" outlineLevel="0" collapsed="false">
      <c r="A7" s="7" t="s">
        <v>31</v>
      </c>
      <c r="B7" s="7" t="n">
        <v>500</v>
      </c>
      <c r="C7" s="11" t="n">
        <v>0.0374202233316311</v>
      </c>
      <c r="D7" s="11" t="n">
        <v>0.189770285128491</v>
      </c>
      <c r="E7" s="7" t="n">
        <v>44</v>
      </c>
      <c r="F7" s="7" t="n">
        <v>6</v>
      </c>
      <c r="G7" s="7" t="n">
        <v>0.0455</v>
      </c>
      <c r="H7" s="7"/>
      <c r="I7" s="7"/>
    </row>
    <row r="8" customFormat="false" ht="15" hidden="false" customHeight="true" outlineLevel="0" collapsed="false">
      <c r="A8" s="7" t="s">
        <v>32</v>
      </c>
      <c r="B8" s="7" t="n">
        <v>125</v>
      </c>
      <c r="C8" s="11" t="n">
        <v>0.03987684057484</v>
      </c>
      <c r="D8" s="11" t="n">
        <v>0.233588501579132</v>
      </c>
      <c r="E8" s="7" t="n">
        <v>97</v>
      </c>
      <c r="F8" s="7" t="n">
        <v>10</v>
      </c>
      <c r="G8" s="7" t="n">
        <v>0.0177</v>
      </c>
      <c r="H8" s="7"/>
      <c r="I8" s="7"/>
    </row>
    <row r="9" customFormat="false" ht="15" hidden="false" customHeight="true" outlineLevel="0" collapsed="false">
      <c r="A9" s="7" t="s">
        <v>33</v>
      </c>
      <c r="B9" s="7" t="n">
        <v>60</v>
      </c>
      <c r="C9" s="11" t="n">
        <v>0.00795969112078977</v>
      </c>
      <c r="D9" s="11" t="n">
        <v>0.271597893946529</v>
      </c>
      <c r="E9" s="7" t="n">
        <v>15</v>
      </c>
      <c r="F9" s="7" t="n">
        <v>2</v>
      </c>
      <c r="G9" s="7" t="n">
        <v>0.0008</v>
      </c>
      <c r="H9" s="7"/>
      <c r="I9" s="7"/>
    </row>
    <row r="10" customFormat="false" ht="15" hidden="false" customHeight="true" outlineLevel="0" collapsed="false">
      <c r="A10" s="7" t="s">
        <v>34</v>
      </c>
      <c r="B10" s="7" t="n">
        <v>220</v>
      </c>
      <c r="C10" s="11" t="n">
        <v>0.047305738657843</v>
      </c>
      <c r="D10" s="11" t="n">
        <v>0.255255157991216</v>
      </c>
      <c r="E10" s="7" t="n">
        <v>78</v>
      </c>
      <c r="F10" s="7" t="n">
        <v>9</v>
      </c>
      <c r="G10" s="7" t="n">
        <v>0.0125</v>
      </c>
      <c r="H10" s="7"/>
      <c r="I10" s="7"/>
    </row>
    <row r="11" customFormat="false" ht="15" hidden="false" customHeight="true" outlineLevel="0" collapsed="false">
      <c r="A11" s="7" t="s">
        <v>35</v>
      </c>
      <c r="B11" s="7" t="n">
        <v>300</v>
      </c>
      <c r="C11" s="11" t="n">
        <v>0.042325180933796</v>
      </c>
      <c r="D11" s="11" t="n">
        <v>0.286713918112262</v>
      </c>
      <c r="E11" s="7" t="n">
        <v>101</v>
      </c>
      <c r="F11" s="7" t="n">
        <v>16</v>
      </c>
      <c r="G11" s="7" t="n">
        <v>0.0112</v>
      </c>
      <c r="H11" s="7"/>
      <c r="I11" s="7"/>
    </row>
    <row r="12" customFormat="false" ht="15" hidden="false" customHeight="true" outlineLevel="0" collapsed="false">
      <c r="A12" s="7" t="s">
        <v>36</v>
      </c>
      <c r="B12" s="7" t="n">
        <v>500</v>
      </c>
      <c r="C12" s="11" t="n">
        <v>0.0259154429147857</v>
      </c>
      <c r="D12" s="11" t="n">
        <v>0.168347600125116</v>
      </c>
      <c r="E12" s="7" t="n">
        <v>8</v>
      </c>
      <c r="F12" s="7" t="n">
        <v>1</v>
      </c>
      <c r="G12" s="7" t="n">
        <v>0.0381</v>
      </c>
      <c r="H12" s="7"/>
      <c r="I12" s="7"/>
    </row>
    <row r="13" customFormat="false" ht="15" hidden="false" customHeight="true" outlineLevel="0" collapsed="false">
      <c r="A13" s="7" t="s">
        <v>37</v>
      </c>
      <c r="B13" s="7" t="n">
        <v>500</v>
      </c>
      <c r="C13" s="11" t="n">
        <v>0.0334386891886128</v>
      </c>
      <c r="D13" s="11" t="n">
        <v>0.199466371799117</v>
      </c>
      <c r="E13" s="7" t="n">
        <v>143</v>
      </c>
      <c r="F13" s="7" t="n">
        <v>18</v>
      </c>
      <c r="G13" s="7" t="n">
        <v>0.1675</v>
      </c>
      <c r="H13" s="7"/>
      <c r="I13" s="7"/>
    </row>
    <row r="14" customFormat="false" ht="15" hidden="false" customHeight="true" outlineLevel="0" collapsed="false">
      <c r="A14" s="7" t="s">
        <v>38</v>
      </c>
      <c r="B14" s="7" t="n">
        <v>220</v>
      </c>
      <c r="C14" s="11" t="n">
        <v>0</v>
      </c>
      <c r="D14" s="11" t="n">
        <v>0.415477792954165</v>
      </c>
      <c r="E14" s="7" t="n">
        <v>9</v>
      </c>
      <c r="F14" s="7" t="n">
        <v>3</v>
      </c>
      <c r="G14" s="7" t="n">
        <v>0.0022</v>
      </c>
      <c r="H14" s="7"/>
      <c r="I14" s="7"/>
    </row>
    <row r="15" customFormat="false" ht="15" hidden="false" customHeight="true" outlineLevel="0" collapsed="false">
      <c r="A15" s="7" t="s">
        <v>39</v>
      </c>
      <c r="B15" s="7" t="n">
        <v>300</v>
      </c>
      <c r="C15" s="11" t="n">
        <v>0.0524853854520778</v>
      </c>
      <c r="D15" s="11" t="n">
        <v>0.116204250524145</v>
      </c>
      <c r="E15" s="7" t="n">
        <v>11</v>
      </c>
      <c r="F15" s="7" t="n">
        <v>2</v>
      </c>
      <c r="G15" s="7" t="n">
        <v>0.0064</v>
      </c>
      <c r="H15" s="7"/>
      <c r="I15" s="7"/>
    </row>
    <row r="16" customFormat="false" ht="15" hidden="false" customHeight="true" outlineLevel="0" collapsed="false">
      <c r="A16" s="7" t="s">
        <v>40</v>
      </c>
      <c r="B16" s="7" t="n">
        <v>500</v>
      </c>
      <c r="C16" s="11" t="n">
        <v>0.0455888105889021</v>
      </c>
      <c r="D16" s="11" t="n">
        <v>0.144290172283245</v>
      </c>
      <c r="E16" s="7" t="n">
        <v>34</v>
      </c>
      <c r="F16" s="7" t="n">
        <v>5</v>
      </c>
      <c r="G16" s="7" t="n">
        <v>0.0498</v>
      </c>
      <c r="H16" s="7"/>
      <c r="I16" s="7"/>
    </row>
    <row r="17" customFormat="false" ht="15" hidden="false" customHeight="true" outlineLevel="0" collapsed="false">
      <c r="A17" s="7" t="s">
        <v>41</v>
      </c>
      <c r="B17" s="7" t="n">
        <v>125</v>
      </c>
      <c r="C17" s="11" t="n">
        <v>0.0272842776832137</v>
      </c>
      <c r="D17" s="11" t="n">
        <v>0.287859016801873</v>
      </c>
      <c r="E17" s="7" t="n">
        <v>17</v>
      </c>
      <c r="F17" s="7" t="n">
        <v>1</v>
      </c>
      <c r="G17" s="7" t="n">
        <v>0.0032</v>
      </c>
      <c r="H17" s="7"/>
      <c r="I17" s="7"/>
    </row>
    <row r="25" customFormat="false" ht="15" hidden="false" customHeight="true" outlineLevel="0" collapsed="false">
      <c r="A25" s="6"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0"/>
    <col collapsed="false" customWidth="true" hidden="false" outlineLevel="0" max="6" min="3" style="1" width="48"/>
    <col collapsed="false" customWidth="true" hidden="false" outlineLevel="0" max="7" min="7" style="1" width="15"/>
    <col collapsed="false" customWidth="true" hidden="false" outlineLevel="0" max="8" min="8" style="1" width="16"/>
  </cols>
  <sheetData>
    <row r="1" customFormat="false" ht="15" hidden="false" customHeight="true" outlineLevel="0" collapsed="false">
      <c r="A1" s="10" t="s">
        <v>2</v>
      </c>
      <c r="B1" s="10" t="s">
        <v>4</v>
      </c>
      <c r="C1" s="10" t="s">
        <v>43</v>
      </c>
      <c r="D1" s="10" t="s">
        <v>44</v>
      </c>
      <c r="E1" s="10" t="s">
        <v>45</v>
      </c>
      <c r="F1" s="10" t="s">
        <v>46</v>
      </c>
      <c r="G1" s="10" t="s">
        <v>47</v>
      </c>
      <c r="H1" s="10" t="s">
        <v>48</v>
      </c>
    </row>
    <row r="2" customFormat="false" ht="15" hidden="false" customHeight="true" outlineLevel="0" collapsed="false">
      <c r="A2" s="7" t="s">
        <v>3</v>
      </c>
      <c r="B2" s="7" t="s">
        <v>49</v>
      </c>
      <c r="C2" s="12" t="n">
        <f aca="false">Coefficients!$H$3*(INDEX(Coefficients!$D$2:$D$40,MATCH($A2,Coefficients!$A$2:$A$40,0))+INDEX(Coefficients!$C$2:$C$40,MATCH($A2,Coefficients!$A$2:$A$40,0))/0.25+Coefficients!$H$2*0.25)</f>
        <v>0.381078984288289</v>
      </c>
      <c r="D2" s="12" t="n">
        <f aca="false">Coefficients!$H$3*(INDEX(Coefficients!$D$2:$D$40,MATCH($A2,Coefficients!$A$2:$A$40,0))+INDEX(Coefficients!$C$2:$C$40,MATCH($A2,Coefficients!$A$2:$A$40,0))/0.35+Coefficients!$H$2*0.35)</f>
        <v>0.340539425770719</v>
      </c>
      <c r="E2" s="12" t="n">
        <f aca="false">Coefficients!$H$3*(INDEX(Coefficients!$D$2:$D$40,MATCH($A2,Coefficients!$A$2:$A$40,0))+INDEX(Coefficients!$C$2:$C$40,MATCH($A2,Coefficients!$A$2:$A$40,0))/0.5+Coefficients!$H$2*0.5)</f>
        <v>0.316354285374067</v>
      </c>
      <c r="F2" s="12" t="n">
        <f aca="false">Coefficients!$H$3*(INDEX(Coefficients!$D$2:$D$40,MATCH($A2,Coefficients!$A$2:$A$40,0))+INDEX(Coefficients!$C$2:$C$40,MATCH($A2,Coefficients!$A$2:$A$40,0))/0.75+Coefficients!$H$2*0.75)</f>
        <v>0.308600560161607</v>
      </c>
      <c r="G2" s="12" t="n">
        <v>0.329</v>
      </c>
      <c r="H2" s="12" t="n">
        <v>0.351</v>
      </c>
    </row>
    <row r="3" customFormat="false" ht="15" hidden="false" customHeight="true" outlineLevel="0" collapsed="false">
      <c r="A3" s="7" t="s">
        <v>3</v>
      </c>
      <c r="B3" s="7" t="s">
        <v>5</v>
      </c>
      <c r="C3" s="12" t="n">
        <f aca="false">Coefficients!$H$4*(INDEX(Coefficients!$D$2:$D$40,MATCH($A3,Coefficients!$A$2:$A$40,0))+INDEX(Coefficients!$C$2:$C$40,MATCH($A3,Coefficients!$A$2:$A$40,0))/0.25+Coefficients!$H$2*0.25)</f>
        <v>0.351240868363179</v>
      </c>
      <c r="D3" s="12" t="n">
        <f aca="false">Coefficients!$H$4*(INDEX(Coefficients!$D$2:$D$40,MATCH($A3,Coefficients!$A$2:$A$40,0))+INDEX(Coefficients!$C$2:$C$40,MATCH($A3,Coefficients!$A$2:$A$40,0))/0.35+Coefficients!$H$2*0.35)</f>
        <v>0.313875518071389</v>
      </c>
      <c r="E3" s="12" t="n">
        <f aca="false">Coefficients!$H$4*(INDEX(Coefficients!$D$2:$D$40,MATCH($A3,Coefficients!$A$2:$A$40,0))+INDEX(Coefficients!$C$2:$C$40,MATCH($A3,Coefficients!$A$2:$A$40,0))/0.5+Coefficients!$H$2*0.5)</f>
        <v>0.291584050778144</v>
      </c>
      <c r="F3" s="12" t="n">
        <f aca="false">Coefficients!$H$4*(INDEX(Coefficients!$D$2:$D$40,MATCH($A3,Coefficients!$A$2:$A$40,0))+INDEX(Coefficients!$C$2:$C$40,MATCH($A3,Coefficients!$A$2:$A$40,0))/0.75+Coefficients!$H$2*0.75)</f>
        <v>0.284437434751127</v>
      </c>
      <c r="G3" s="12" t="n">
        <v>0.303</v>
      </c>
      <c r="H3" s="12" t="n">
        <v>0.337</v>
      </c>
    </row>
    <row r="4" customFormat="false" ht="15" hidden="false" customHeight="true" outlineLevel="0" collapsed="false">
      <c r="A4" s="7" t="s">
        <v>25</v>
      </c>
      <c r="B4" s="7" t="s">
        <v>49</v>
      </c>
      <c r="C4" s="12" t="n">
        <f aca="false">Coefficients!$H$3*(INDEX(Coefficients!$D$2:$D$40,MATCH($A4,Coefficients!$A$2:$A$40,0))+INDEX(Coefficients!$C$2:$C$40,MATCH($A4,Coefficients!$A$2:$A$40,0))/0.25+Coefficients!$H$2*0.25)</f>
        <v>0.390460965630863</v>
      </c>
      <c r="D4" s="12" t="n">
        <f aca="false">Coefficients!$H$3*(INDEX(Coefficients!$D$2:$D$40,MATCH($A4,Coefficients!$A$2:$A$40,0))+INDEX(Coefficients!$C$2:$C$40,MATCH($A4,Coefficients!$A$2:$A$40,0))/0.35+Coefficients!$H$2*0.35)</f>
        <v>0.348864460634315</v>
      </c>
      <c r="E4" s="12" t="n">
        <f aca="false">Coefficients!$H$3*(INDEX(Coefficients!$D$2:$D$40,MATCH($A4,Coefficients!$A$2:$A$40,0))+INDEX(Coefficients!$C$2:$C$40,MATCH($A4,Coefficients!$A$2:$A$40,0))/0.5+Coefficients!$H$2*0.5)</f>
        <v>0.323886610378431</v>
      </c>
      <c r="F4" s="12" t="n">
        <f aca="false">Coefficients!$H$3*(INDEX(Coefficients!$D$2:$D$40,MATCH($A4,Coefficients!$A$2:$A$40,0))+INDEX(Coefficients!$C$2:$C$40,MATCH($A4,Coefficients!$A$2:$A$40,0))/0.75+Coefficients!$H$2*0.75)</f>
        <v>0.315516333053234</v>
      </c>
      <c r="G4" s="12" t="n">
        <v>0.31</v>
      </c>
      <c r="H4" s="12" t="n">
        <v>0.392</v>
      </c>
    </row>
    <row r="5" customFormat="false" ht="15" hidden="false" customHeight="true" outlineLevel="0" collapsed="false">
      <c r="A5" s="7" t="s">
        <v>25</v>
      </c>
      <c r="B5" s="7" t="s">
        <v>5</v>
      </c>
      <c r="C5" s="12" t="n">
        <f aca="false">Coefficients!$H$4*(INDEX(Coefficients!$D$2:$D$40,MATCH($A5,Coefficients!$A$2:$A$40,0))+INDEX(Coefficients!$C$2:$C$40,MATCH($A5,Coefficients!$A$2:$A$40,0))/0.25+Coefficients!$H$2*0.25)</f>
        <v>0.359888249640021</v>
      </c>
      <c r="D5" s="12" t="n">
        <f aca="false">Coefficients!$H$4*(INDEX(Coefficients!$D$2:$D$40,MATCH($A5,Coefficients!$A$2:$A$40,0))+INDEX(Coefficients!$C$2:$C$40,MATCH($A5,Coefficients!$A$2:$A$40,0))/0.35+Coefficients!$H$2*0.35)</f>
        <v>0.321548710756376</v>
      </c>
      <c r="E5" s="12" t="n">
        <f aca="false">Coefficients!$H$4*(INDEX(Coefficients!$D$2:$D$40,MATCH($A5,Coefficients!$A$2:$A$40,0))+INDEX(Coefficients!$C$2:$C$40,MATCH($A5,Coefficients!$A$2:$A$40,0))/0.5+Coefficients!$H$2*0.5)</f>
        <v>0.298526602019241</v>
      </c>
      <c r="F5" s="12" t="n">
        <f aca="false">Coefficients!$H$4*(INDEX(Coefficients!$D$2:$D$40,MATCH($A5,Coefficients!$A$2:$A$40,0))+INDEX(Coefficients!$C$2:$C$40,MATCH($A5,Coefficients!$A$2:$A$40,0))/0.75+Coefficients!$H$2*0.75)</f>
        <v>0.290811709313641</v>
      </c>
      <c r="G5" s="12" t="n">
        <v>0.294</v>
      </c>
      <c r="H5" s="12" t="n">
        <v>0.364</v>
      </c>
    </row>
    <row r="6" customFormat="false" ht="15" hidden="false" customHeight="true" outlineLevel="0" collapsed="false">
      <c r="A6" s="7" t="s">
        <v>27</v>
      </c>
      <c r="B6" s="7" t="s">
        <v>49</v>
      </c>
      <c r="C6" s="12" t="n">
        <f aca="false">Coefficients!$H$3*(INDEX(Coefficients!$D$2:$D$40,MATCH($A6,Coefficients!$A$2:$A$40,0))+INDEX(Coefficients!$C$2:$C$40,MATCH($A6,Coefficients!$A$2:$A$40,0))/0.25+Coefficients!$H$2*0.25)</f>
        <v>0.349954068065233</v>
      </c>
      <c r="D6" s="12" t="n">
        <f aca="false">Coefficients!$H$3*(INDEX(Coefficients!$D$2:$D$40,MATCH($A6,Coefficients!$A$2:$A$40,0))+INDEX(Coefficients!$C$2:$C$40,MATCH($A6,Coefficients!$A$2:$A$40,0))/0.35+Coefficients!$H$2*0.35)</f>
        <v>0.319792065677364</v>
      </c>
      <c r="E6" s="12" t="n">
        <f aca="false">Coefficients!$H$3*(INDEX(Coefficients!$D$2:$D$40,MATCH($A6,Coefficients!$A$2:$A$40,0))+INDEX(Coefficients!$C$2:$C$40,MATCH($A6,Coefficients!$A$2:$A$40,0))/0.5+Coefficients!$H$2*0.5)</f>
        <v>0.303390092377989</v>
      </c>
      <c r="F6" s="12" t="n">
        <f aca="false">Coefficients!$H$3*(INDEX(Coefficients!$D$2:$D$40,MATCH($A6,Coefficients!$A$2:$A$40,0))+INDEX(Coefficients!$C$2:$C$40,MATCH($A6,Coefficients!$A$2:$A$40,0))/0.75+Coefficients!$H$2*0.75)</f>
        <v>0.30168994157452</v>
      </c>
      <c r="G6" s="12" t="n">
        <v>0.299</v>
      </c>
      <c r="H6" s="12" t="n">
        <v>0.326</v>
      </c>
    </row>
    <row r="7" customFormat="false" ht="15" hidden="false" customHeight="true" outlineLevel="0" collapsed="false">
      <c r="A7" s="7" t="s">
        <v>27</v>
      </c>
      <c r="B7" s="7" t="s">
        <v>5</v>
      </c>
      <c r="C7" s="12" t="n">
        <f aca="false">Coefficients!$H$4*(INDEX(Coefficients!$D$2:$D$40,MATCH($A7,Coefficients!$A$2:$A$40,0))+INDEX(Coefficients!$C$2:$C$40,MATCH($A7,Coefficients!$A$2:$A$40,0))/0.25+Coefficients!$H$2*0.25)</f>
        <v>0.322553002979222</v>
      </c>
      <c r="D7" s="12" t="n">
        <f aca="false">Coefficients!$H$4*(INDEX(Coefficients!$D$2:$D$40,MATCH($A7,Coefficients!$A$2:$A$40,0))+INDEX(Coefficients!$C$2:$C$40,MATCH($A7,Coefficients!$A$2:$A$40,0))/0.35+Coefficients!$H$2*0.35)</f>
        <v>0.294752656208399</v>
      </c>
      <c r="E7" s="12" t="n">
        <f aca="false">Coefficients!$H$4*(INDEX(Coefficients!$D$2:$D$40,MATCH($A7,Coefficients!$A$2:$A$40,0))+INDEX(Coefficients!$C$2:$C$40,MATCH($A7,Coefficients!$A$2:$A$40,0))/0.5+Coefficients!$H$2*0.5)</f>
        <v>0.279634941555879</v>
      </c>
      <c r="F7" s="12" t="n">
        <f aca="false">Coefficients!$H$4*(INDEX(Coefficients!$D$2:$D$40,MATCH($A7,Coefficients!$A$2:$A$40,0))+INDEX(Coefficients!$C$2:$C$40,MATCH($A7,Coefficients!$A$2:$A$40,0))/0.75+Coefficients!$H$2*0.75)</f>
        <v>0.278067910916093</v>
      </c>
      <c r="G7" s="12" t="n">
        <v>0.285</v>
      </c>
      <c r="H7" s="12" t="n">
        <v>0.299</v>
      </c>
    </row>
    <row r="8" customFormat="false" ht="15" hidden="false" customHeight="true" outlineLevel="0" collapsed="false">
      <c r="A8" s="7" t="s">
        <v>29</v>
      </c>
      <c r="B8" s="7" t="s">
        <v>49</v>
      </c>
      <c r="C8" s="12" t="n">
        <f aca="false">Coefficients!$H$3*(INDEX(Coefficients!$D$2:$D$40,MATCH($A8,Coefficients!$A$2:$A$40,0))+INDEX(Coefficients!$C$2:$C$40,MATCH($A8,Coefficients!$A$2:$A$40,0))/0.25+Coefficients!$H$2*0.25)</f>
        <v>0.398347107077014</v>
      </c>
      <c r="D8" s="12" t="n">
        <f aca="false">Coefficients!$H$3*(INDEX(Coefficients!$D$2:$D$40,MATCH($A8,Coefficients!$A$2:$A$40,0))+INDEX(Coefficients!$C$2:$C$40,MATCH($A8,Coefficients!$A$2:$A$40,0))/0.35+Coefficients!$H$2*0.35)</f>
        <v>0.358036343081029</v>
      </c>
      <c r="E8" s="12" t="n">
        <f aca="false">Coefficients!$H$3*(INDEX(Coefficients!$D$2:$D$40,MATCH($A8,Coefficients!$A$2:$A$40,0))+INDEX(Coefficients!$C$2:$C$40,MATCH($A8,Coefficients!$A$2:$A$40,0))/0.5+Coefficients!$H$2*0.5)</f>
        <v>0.334022798575567</v>
      </c>
      <c r="F8" s="12" t="n">
        <f aca="false">Coefficients!$H$3*(INDEX(Coefficients!$D$2:$D$40,MATCH($A8,Coefficients!$A$2:$A$40,0))+INDEX(Coefficients!$C$2:$C$40,MATCH($A8,Coefficients!$A$2:$A$40,0))/0.75+Coefficients!$H$2*0.75)</f>
        <v>0.326402536834032</v>
      </c>
      <c r="G8" s="12" t="n">
        <v>0.34</v>
      </c>
      <c r="H8" s="12" t="n">
        <v>0.371</v>
      </c>
    </row>
    <row r="9" customFormat="false" ht="15" hidden="false" customHeight="true" outlineLevel="0" collapsed="false">
      <c r="A9" s="7" t="s">
        <v>29</v>
      </c>
      <c r="B9" s="7" t="s">
        <v>5</v>
      </c>
      <c r="C9" s="12" t="n">
        <f aca="false">Coefficients!$H$4*(INDEX(Coefficients!$D$2:$D$40,MATCH($A9,Coefficients!$A$2:$A$40,0))+INDEX(Coefficients!$C$2:$C$40,MATCH($A9,Coefficients!$A$2:$A$40,0))/0.25+Coefficients!$H$2*0.25)</f>
        <v>0.367156913837691</v>
      </c>
      <c r="D9" s="12" t="n">
        <f aca="false">Coefficients!$H$4*(INDEX(Coefficients!$D$2:$D$40,MATCH($A9,Coefficients!$A$2:$A$40,0))+INDEX(Coefficients!$C$2:$C$40,MATCH($A9,Coefficients!$A$2:$A$40,0))/0.35+Coefficients!$H$2*0.35)</f>
        <v>0.330002443677717</v>
      </c>
      <c r="E9" s="12" t="n">
        <f aca="false">Coefficients!$H$4*(INDEX(Coefficients!$D$2:$D$40,MATCH($A9,Coefficients!$A$2:$A$40,0))+INDEX(Coefficients!$C$2:$C$40,MATCH($A9,Coefficients!$A$2:$A$40,0))/0.5+Coefficients!$H$2*0.5)</f>
        <v>0.307869136483333</v>
      </c>
      <c r="F9" s="12" t="n">
        <f aca="false">Coefficients!$H$4*(INDEX(Coefficients!$D$2:$D$40,MATCH($A9,Coefficients!$A$2:$A$40,0))+INDEX(Coefficients!$C$2:$C$40,MATCH($A9,Coefficients!$A$2:$A$40,0))/0.75+Coefficients!$H$2*0.75)</f>
        <v>0.300845533866541</v>
      </c>
      <c r="G9" s="12" t="n">
        <v>0.326</v>
      </c>
      <c r="H9" s="12" t="n">
        <v>0.341</v>
      </c>
    </row>
    <row r="10" customFormat="false" ht="15" hidden="false" customHeight="true" outlineLevel="0" collapsed="false">
      <c r="A10" s="7" t="s">
        <v>30</v>
      </c>
      <c r="B10" s="7" t="s">
        <v>49</v>
      </c>
      <c r="C10" s="12" t="n">
        <f aca="false">Coefficients!$H$3*(INDEX(Coefficients!$D$2:$D$40,MATCH($A10,Coefficients!$A$2:$A$40,0))+INDEX(Coefficients!$C$2:$C$40,MATCH($A10,Coefficients!$A$2:$A$40,0))/0.25+Coefficients!$H$2*0.25)</f>
        <v>0.318738704988083</v>
      </c>
      <c r="D10" s="12" t="n">
        <f aca="false">Coefficients!$H$3*(INDEX(Coefficients!$D$2:$D$40,MATCH($A10,Coefficients!$A$2:$A$40,0))+INDEX(Coefficients!$C$2:$C$40,MATCH($A10,Coefficients!$A$2:$A$40,0))/0.35+Coefficients!$H$2*0.35)</f>
        <v>0.304444697317863</v>
      </c>
      <c r="E10" s="12" t="n">
        <f aca="false">Coefficients!$H$3*(INDEX(Coefficients!$D$2:$D$40,MATCH($A10,Coefficients!$A$2:$A$40,0))+INDEX(Coefficients!$C$2:$C$40,MATCH($A10,Coefficients!$A$2:$A$40,0))/0.5+Coefficients!$H$2*0.5)</f>
        <v>0.299943720056724</v>
      </c>
      <c r="F10" s="12" t="n">
        <f aca="false">Coefficients!$H$3*(INDEX(Coefficients!$D$2:$D$40,MATCH($A10,Coefficients!$A$2:$A$40,0))+INDEX(Coefficients!$C$2:$C$40,MATCH($A10,Coefficients!$A$2:$A$40,0))/0.75+Coefficients!$H$2*0.75)</f>
        <v>0.307499899505218</v>
      </c>
      <c r="G10" s="12" t="n">
        <v>0.292</v>
      </c>
      <c r="H10" s="12" t="n">
        <v>0.331</v>
      </c>
    </row>
    <row r="11" customFormat="false" ht="15" hidden="false" customHeight="true" outlineLevel="0" collapsed="false">
      <c r="A11" s="7" t="s">
        <v>30</v>
      </c>
      <c r="B11" s="7" t="s">
        <v>5</v>
      </c>
      <c r="C11" s="12" t="n">
        <f aca="false">Coefficients!$H$4*(INDEX(Coefficients!$D$2:$D$40,MATCH($A11,Coefficients!$A$2:$A$40,0))+INDEX(Coefficients!$C$2:$C$40,MATCH($A11,Coefficients!$A$2:$A$40,0))/0.25+Coefficients!$H$2*0.25)</f>
        <v>0.293781772642375</v>
      </c>
      <c r="D11" s="12" t="n">
        <f aca="false">Coefficients!$H$4*(INDEX(Coefficients!$D$2:$D$40,MATCH($A11,Coefficients!$A$2:$A$40,0))+INDEX(Coefficients!$C$2:$C$40,MATCH($A11,Coefficients!$A$2:$A$40,0))/0.35+Coefficients!$H$2*0.35)</f>
        <v>0.280606971948879</v>
      </c>
      <c r="E11" s="12" t="n">
        <f aca="false">Coefficients!$H$4*(INDEX(Coefficients!$D$2:$D$40,MATCH($A11,Coefficients!$A$2:$A$40,0))+INDEX(Coefficients!$C$2:$C$40,MATCH($A11,Coefficients!$A$2:$A$40,0))/0.5+Coefficients!$H$2*0.5)</f>
        <v>0.276458416854355</v>
      </c>
      <c r="F11" s="12" t="n">
        <f aca="false">Coefficients!$H$4*(INDEX(Coefficients!$D$2:$D$40,MATCH($A11,Coefficients!$A$2:$A$40,0))+INDEX(Coefficients!$C$2:$C$40,MATCH($A11,Coefficients!$A$2:$A$40,0))/0.75+Coefficients!$H$2*0.75)</f>
        <v>0.283422954759675</v>
      </c>
      <c r="G11" s="12" t="n">
        <v>0.271</v>
      </c>
      <c r="H11" s="12" t="n">
        <v>0.312</v>
      </c>
    </row>
    <row r="12" customFormat="false" ht="15" hidden="false" customHeight="true" outlineLevel="0" collapsed="false">
      <c r="A12" s="7" t="s">
        <v>31</v>
      </c>
      <c r="B12" s="7" t="s">
        <v>49</v>
      </c>
      <c r="C12" s="12" t="n">
        <f aca="false">Coefficients!$H$3*(INDEX(Coefficients!$D$2:$D$40,MATCH($A12,Coefficients!$A$2:$A$40,0))+INDEX(Coefficients!$C$2:$C$40,MATCH($A12,Coefficients!$A$2:$A$40,0))/0.25+Coefficients!$H$2*0.25)</f>
        <v>0.378444110790257</v>
      </c>
      <c r="D12" s="12" t="n">
        <f aca="false">Coefficients!$H$3*(INDEX(Coefficients!$D$2:$D$40,MATCH($A12,Coefficients!$A$2:$A$40,0))+INDEX(Coefficients!$C$2:$C$40,MATCH($A12,Coefficients!$A$2:$A$40,0))/0.35+Coefficients!$H$2*0.35)</f>
        <v>0.341670200885472</v>
      </c>
      <c r="E12" s="12" t="n">
        <f aca="false">Coefficients!$H$3*(INDEX(Coefficients!$D$2:$D$40,MATCH($A12,Coefficients!$A$2:$A$40,0))+INDEX(Coefficients!$C$2:$C$40,MATCH($A12,Coefficients!$A$2:$A$40,0))/0.5+Coefficients!$H$2*0.5)</f>
        <v>0.32030929694841</v>
      </c>
      <c r="F12" s="12" t="n">
        <f aca="false">Coefficients!$H$3*(INDEX(Coefficients!$D$2:$D$40,MATCH($A12,Coefficients!$A$2:$A$40,0))+INDEX(Coefficients!$C$2:$C$40,MATCH($A12,Coefficients!$A$2:$A$40,0))/0.75+Coefficients!$H$2*0.75)</f>
        <v>0.314752200093407</v>
      </c>
      <c r="G12" s="12" t="n">
        <v>0.329</v>
      </c>
      <c r="H12" s="12" t="n">
        <v>0.369</v>
      </c>
    </row>
    <row r="13" customFormat="false" ht="15" hidden="false" customHeight="true" outlineLevel="0" collapsed="false">
      <c r="A13" s="7" t="s">
        <v>31</v>
      </c>
      <c r="B13" s="7" t="s">
        <v>5</v>
      </c>
      <c r="C13" s="12" t="n">
        <f aca="false">Coefficients!$H$4*(INDEX(Coefficients!$D$2:$D$40,MATCH($A13,Coefficients!$A$2:$A$40,0))+INDEX(Coefficients!$C$2:$C$40,MATCH($A13,Coefficients!$A$2:$A$40,0))/0.25+Coefficients!$H$2*0.25)</f>
        <v>0.348812302911834</v>
      </c>
      <c r="D13" s="12" t="n">
        <f aca="false">Coefficients!$H$4*(INDEX(Coefficients!$D$2:$D$40,MATCH($A13,Coefficients!$A$2:$A$40,0))+INDEX(Coefficients!$C$2:$C$40,MATCH($A13,Coefficients!$A$2:$A$40,0))/0.35+Coefficients!$H$2*0.35)</f>
        <v>0.314917754588239</v>
      </c>
      <c r="E13" s="12" t="n">
        <f aca="false">Coefficients!$H$4*(INDEX(Coefficients!$D$2:$D$40,MATCH($A13,Coefficients!$A$2:$A$40,0))+INDEX(Coefficients!$C$2:$C$40,MATCH($A13,Coefficients!$A$2:$A$40,0))/0.5+Coefficients!$H$2*0.5)</f>
        <v>0.29522938877114</v>
      </c>
      <c r="F13" s="12" t="n">
        <f aca="false">Coefficients!$H$4*(INDEX(Coefficients!$D$2:$D$40,MATCH($A13,Coefficients!$A$2:$A$40,0))+INDEX(Coefficients!$C$2:$C$40,MATCH($A13,Coefficients!$A$2:$A$40,0))/0.75+Coefficients!$H$2*0.75)</f>
        <v>0.29010740722557</v>
      </c>
      <c r="G13" s="12" t="n">
        <v>0.312</v>
      </c>
      <c r="H13" s="12" t="n">
        <v>0.354</v>
      </c>
    </row>
    <row r="14" customFormat="false" ht="15" hidden="false" customHeight="true" outlineLevel="0" collapsed="false">
      <c r="A14" s="7" t="s">
        <v>32</v>
      </c>
      <c r="B14" s="7" t="s">
        <v>49</v>
      </c>
      <c r="C14" s="12" t="n">
        <f aca="false">Coefficients!$H$3*(INDEX(Coefficients!$D$2:$D$40,MATCH($A14,Coefficients!$A$2:$A$40,0))+INDEX(Coefficients!$C$2:$C$40,MATCH($A14,Coefficients!$A$2:$A$40,0))/0.25+Coefficients!$H$2*0.25)</f>
        <v>0.434974674418529</v>
      </c>
      <c r="D14" s="12" t="n">
        <f aca="false">Coefficients!$H$3*(INDEX(Coefficients!$D$2:$D$40,MATCH($A14,Coefficients!$A$2:$A$40,0))+INDEX(Coefficients!$C$2:$C$40,MATCH($A14,Coefficients!$A$2:$A$40,0))/0.35+Coefficients!$H$2*0.35)</f>
        <v>0.39524216585867</v>
      </c>
      <c r="E14" s="12" t="n">
        <f aca="false">Coefficients!$H$3*(INDEX(Coefficients!$D$2:$D$40,MATCH($A14,Coefficients!$A$2:$A$40,0))+INDEX(Coefficients!$C$2:$C$40,MATCH($A14,Coefficients!$A$2:$A$40,0))/0.5+Coefficients!$H$2*0.5)</f>
        <v>0.371662312930303</v>
      </c>
      <c r="F14" s="12" t="n">
        <f aca="false">Coefficients!$H$3*(INDEX(Coefficients!$D$2:$D$40,MATCH($A14,Coefficients!$A$2:$A$40,0))+INDEX(Coefficients!$C$2:$C$40,MATCH($A14,Coefficients!$A$2:$A$40,0))/0.75+Coefficients!$H$2*0.75)</f>
        <v>0.364379366859841</v>
      </c>
      <c r="G14" s="12" t="n">
        <v>0.369</v>
      </c>
      <c r="H14" s="12" t="n">
        <v>0.415</v>
      </c>
    </row>
    <row r="15" customFormat="false" ht="15" hidden="false" customHeight="true" outlineLevel="0" collapsed="false">
      <c r="A15" s="7" t="s">
        <v>32</v>
      </c>
      <c r="B15" s="7" t="s">
        <v>5</v>
      </c>
      <c r="C15" s="12" t="n">
        <f aca="false">Coefficients!$H$4*(INDEX(Coefficients!$D$2:$D$40,MATCH($A15,Coefficients!$A$2:$A$40,0))+INDEX(Coefficients!$C$2:$C$40,MATCH($A15,Coefficients!$A$2:$A$40,0))/0.25+Coefficients!$H$2*0.25)</f>
        <v>0.400916578079192</v>
      </c>
      <c r="D15" s="12" t="n">
        <f aca="false">Coefficients!$H$4*(INDEX(Coefficients!$D$2:$D$40,MATCH($A15,Coefficients!$A$2:$A$40,0))+INDEX(Coefficients!$C$2:$C$40,MATCH($A15,Coefficients!$A$2:$A$40,0))/0.35+Coefficients!$H$2*0.35)</f>
        <v>0.36429508651393</v>
      </c>
      <c r="E15" s="12" t="n">
        <f aca="false">Coefficients!$H$4*(INDEX(Coefficients!$D$2:$D$40,MATCH($A15,Coefficients!$A$2:$A$40,0))+INDEX(Coefficients!$C$2:$C$40,MATCH($A15,Coefficients!$A$2:$A$40,0))/0.5+Coefficients!$H$2*0.5)</f>
        <v>0.342561513265581</v>
      </c>
      <c r="F15" s="12" t="n">
        <f aca="false">Coefficients!$H$4*(INDEX(Coefficients!$D$2:$D$40,MATCH($A15,Coefficients!$A$2:$A$40,0))+INDEX(Coefficients!$C$2:$C$40,MATCH($A15,Coefficients!$A$2:$A$40,0))/0.75+Coefficients!$H$2*0.75)</f>
        <v>0.335848814829038</v>
      </c>
      <c r="G15" s="12" t="n">
        <v>0.342</v>
      </c>
      <c r="H15" s="12" t="n">
        <v>0.389</v>
      </c>
    </row>
    <row r="16" customFormat="false" ht="15" hidden="false" customHeight="true" outlineLevel="0" collapsed="false">
      <c r="A16" s="7" t="s">
        <v>33</v>
      </c>
      <c r="B16" s="7" t="s">
        <v>49</v>
      </c>
      <c r="C16" s="12" t="n">
        <f aca="false">Coefficients!$H$3*(INDEX(Coefficients!$D$2:$D$40,MATCH($A16,Coefficients!$A$2:$A$40,0))+INDEX(Coefficients!$C$2:$C$40,MATCH($A16,Coefficients!$A$2:$A$40,0))/0.25+Coefficients!$H$2*0.25)</f>
        <v>0.340492147799671</v>
      </c>
      <c r="D16" s="12" t="n">
        <f aca="false">Coefficients!$H$3*(INDEX(Coefficients!$D$2:$D$40,MATCH($A16,Coefficients!$A$2:$A$40,0))+INDEX(Coefficients!$C$2:$C$40,MATCH($A16,Coefficients!$A$2:$A$40,0))/0.35+Coefficients!$H$2*0.35)</f>
        <v>0.339198690219196</v>
      </c>
      <c r="E16" s="12" t="n">
        <f aca="false">Coefficients!$H$3*(INDEX(Coefficients!$D$2:$D$40,MATCH($A16,Coefficients!$A$2:$A$40,0))+INDEX(Coefficients!$C$2:$C$40,MATCH($A16,Coefficients!$A$2:$A$40,0))/0.5+Coefficients!$H$2*0.5)</f>
        <v>0.344448125525365</v>
      </c>
      <c r="F16" s="12" t="n">
        <f aca="false">Coefficients!$H$3*(INDEX(Coefficients!$D$2:$D$40,MATCH($A16,Coefficients!$A$2:$A$40,0))+INDEX(Coefficients!$C$2:$C$40,MATCH($A16,Coefficients!$A$2:$A$40,0))/0.75+Coefficients!$H$2*0.75)</f>
        <v>0.359587959192877</v>
      </c>
      <c r="G16" s="12" t="n">
        <v>0.301</v>
      </c>
      <c r="H16" s="12" t="n">
        <v>0.349</v>
      </c>
    </row>
    <row r="17" customFormat="false" ht="15" hidden="false" customHeight="true" outlineLevel="0" collapsed="false">
      <c r="A17" s="7" t="s">
        <v>33</v>
      </c>
      <c r="B17" s="7" t="s">
        <v>5</v>
      </c>
      <c r="C17" s="12" t="n">
        <f aca="false">Coefficients!$H$4*(INDEX(Coefficients!$D$2:$D$40,MATCH($A17,Coefficients!$A$2:$A$40,0))+INDEX(Coefficients!$C$2:$C$40,MATCH($A17,Coefficients!$A$2:$A$40,0))/0.25+Coefficients!$H$2*0.25)</f>
        <v>0.313831941919751</v>
      </c>
      <c r="D17" s="12" t="n">
        <f aca="false">Coefficients!$H$4*(INDEX(Coefficients!$D$2:$D$40,MATCH($A17,Coefficients!$A$2:$A$40,0))+INDEX(Coefficients!$C$2:$C$40,MATCH($A17,Coefficients!$A$2:$A$40,0))/0.35+Coefficients!$H$2*0.35)</f>
        <v>0.312639760816913</v>
      </c>
      <c r="E17" s="12" t="n">
        <f aca="false">Coefficients!$H$4*(INDEX(Coefficients!$D$2:$D$40,MATCH($A17,Coefficients!$A$2:$A$40,0))+INDEX(Coefficients!$C$2:$C$40,MATCH($A17,Coefficients!$A$2:$A$40,0))/0.5+Coefficients!$H$2*0.5)</f>
        <v>0.317478170415382</v>
      </c>
      <c r="F17" s="12" t="n">
        <f aca="false">Coefficients!$H$4*(INDEX(Coefficients!$D$2:$D$40,MATCH($A17,Coefficients!$A$2:$A$40,0))+INDEX(Coefficients!$C$2:$C$40,MATCH($A17,Coefficients!$A$2:$A$40,0))/0.75+Coefficients!$H$2*0.75)</f>
        <v>0.331432569748587</v>
      </c>
      <c r="G17" s="12" t="n">
        <v>0.28</v>
      </c>
      <c r="H17" s="12" t="n">
        <v>0.329</v>
      </c>
    </row>
    <row r="18" customFormat="false" ht="15" hidden="false" customHeight="true" outlineLevel="0" collapsed="false">
      <c r="A18" s="7" t="s">
        <v>34</v>
      </c>
      <c r="B18" s="7" t="s">
        <v>49</v>
      </c>
      <c r="C18" s="12" t="n">
        <f aca="false">Coefficients!$H$3*(INDEX(Coefficients!$D$2:$D$40,MATCH($A18,Coefficients!$A$2:$A$40,0))+INDEX(Coefficients!$C$2:$C$40,MATCH($A18,Coefficients!$A$2:$A$40,0))/0.25+Coefficients!$H$2*0.25)</f>
        <v>0.489121090956571</v>
      </c>
      <c r="D18" s="12" t="n">
        <f aca="false">Coefficients!$H$3*(INDEX(Coefficients!$D$2:$D$40,MATCH($A18,Coefficients!$A$2:$A$40,0))+INDEX(Coefficients!$C$2:$C$40,MATCH($A18,Coefficients!$A$2:$A$40,0))/0.35+Coefficients!$H$2*0.35)</f>
        <v>0.440441674636535</v>
      </c>
      <c r="E18" s="12" t="n">
        <f aca="false">Coefficients!$H$3*(INDEX(Coefficients!$D$2:$D$40,MATCH($A18,Coefficients!$A$2:$A$40,0))+INDEX(Coefficients!$C$2:$C$40,MATCH($A18,Coefficients!$A$2:$A$40,0))/0.5+Coefficients!$H$2*0.5)</f>
        <v>0.410151640888034</v>
      </c>
      <c r="F18" s="12" t="n">
        <f aca="false">Coefficients!$H$3*(INDEX(Coefficients!$D$2:$D$40,MATCH($A18,Coefficients!$A$2:$A$40,0))+INDEX(Coefficients!$C$2:$C$40,MATCH($A18,Coefficients!$A$2:$A$40,0))/0.75+Coefficients!$H$2*0.75)</f>
        <v>0.397649665290802</v>
      </c>
      <c r="G18" s="12" t="n">
        <v>0.415</v>
      </c>
      <c r="H18" s="12" t="n">
        <v>0.45</v>
      </c>
    </row>
    <row r="19" customFormat="false" ht="15" hidden="false" customHeight="true" outlineLevel="0" collapsed="false">
      <c r="A19" s="7" t="s">
        <v>34</v>
      </c>
      <c r="B19" s="7" t="s">
        <v>5</v>
      </c>
      <c r="C19" s="12" t="n">
        <f aca="false">Coefficients!$H$4*(INDEX(Coefficients!$D$2:$D$40,MATCH($A19,Coefficients!$A$2:$A$40,0))+INDEX(Coefficients!$C$2:$C$40,MATCH($A19,Coefficients!$A$2:$A$40,0))/0.25+Coefficients!$H$2*0.25)</f>
        <v>0.450823382567756</v>
      </c>
      <c r="D19" s="12" t="n">
        <f aca="false">Coefficients!$H$4*(INDEX(Coefficients!$D$2:$D$40,MATCH($A19,Coefficients!$A$2:$A$40,0))+INDEX(Coefficients!$C$2:$C$40,MATCH($A19,Coefficients!$A$2:$A$40,0))/0.35+Coefficients!$H$2*0.35)</f>
        <v>0.405955517467309</v>
      </c>
      <c r="E19" s="12" t="n">
        <f aca="false">Coefficients!$H$4*(INDEX(Coefficients!$D$2:$D$40,MATCH($A19,Coefficients!$A$2:$A$40,0))+INDEX(Coefficients!$C$2:$C$40,MATCH($A19,Coefficients!$A$2:$A$40,0))/0.5+Coefficients!$H$2*0.5)</f>
        <v>0.378037164067572</v>
      </c>
      <c r="F19" s="12" t="n">
        <f aca="false">Coefficients!$H$4*(INDEX(Coefficients!$D$2:$D$40,MATCH($A19,Coefficients!$A$2:$A$40,0))+INDEX(Coefficients!$C$2:$C$40,MATCH($A19,Coefficients!$A$2:$A$40,0))/0.75+Coefficients!$H$2*0.75)</f>
        <v>0.366514081068838</v>
      </c>
      <c r="G19" s="12" t="n">
        <v>0.387</v>
      </c>
      <c r="H19" s="12" t="n">
        <v>0.418</v>
      </c>
    </row>
    <row r="20" customFormat="false" ht="15" hidden="false" customHeight="true" outlineLevel="0" collapsed="false">
      <c r="A20" s="7" t="s">
        <v>35</v>
      </c>
      <c r="B20" s="7" t="s">
        <v>49</v>
      </c>
      <c r="C20" s="12" t="n">
        <f aca="false">Coefficients!$H$3*(INDEX(Coefficients!$D$2:$D$40,MATCH($A20,Coefficients!$A$2:$A$40,0))+INDEX(Coefficients!$C$2:$C$40,MATCH($A20,Coefficients!$A$2:$A$40,0))/0.25+Coefficients!$H$2*0.25)</f>
        <v>0.501278241180251</v>
      </c>
      <c r="D20" s="12" t="n">
        <f aca="false">Coefficients!$H$3*(INDEX(Coefficients!$D$2:$D$40,MATCH($A20,Coefficients!$A$2:$A$40,0))+INDEX(Coefficients!$C$2:$C$40,MATCH($A20,Coefficients!$A$2:$A$40,0))/0.35+Coefficients!$H$2*0.35)</f>
        <v>0.458597102135447</v>
      </c>
      <c r="E20" s="12" t="n">
        <f aca="false">Coefficients!$H$3*(INDEX(Coefficients!$D$2:$D$40,MATCH($A20,Coefficients!$A$2:$A$40,0))+INDEX(Coefficients!$C$2:$C$40,MATCH($A20,Coefficients!$A$2:$A$40,0))/0.5+Coefficients!$H$2*0.5)</f>
        <v>0.432805776343369</v>
      </c>
      <c r="F20" s="12" t="n">
        <f aca="false">Coefficients!$H$3*(INDEX(Coefficients!$D$2:$D$40,MATCH($A20,Coefficients!$A$2:$A$40,0))+INDEX(Coefficients!$C$2:$C$40,MATCH($A20,Coefficients!$A$2:$A$40,0))/0.75+Coefficients!$H$2*0.75)</f>
        <v>0.423802795823355</v>
      </c>
      <c r="G20" s="12" t="n">
        <v>0.421</v>
      </c>
      <c r="H20" s="12" t="n">
        <v>0.492</v>
      </c>
    </row>
    <row r="21" customFormat="false" ht="15" hidden="false" customHeight="true" outlineLevel="0" collapsed="false">
      <c r="A21" s="7" t="s">
        <v>35</v>
      </c>
      <c r="B21" s="7" t="s">
        <v>5</v>
      </c>
      <c r="C21" s="12" t="n">
        <f aca="false">Coefficients!$H$4*(INDEX(Coefficients!$D$2:$D$40,MATCH($A21,Coefficients!$A$2:$A$40,0))+INDEX(Coefficients!$C$2:$C$40,MATCH($A21,Coefficients!$A$2:$A$40,0))/0.25+Coefficients!$H$2*0.25)</f>
        <v>0.462028639686203</v>
      </c>
      <c r="D21" s="12" t="n">
        <f aca="false">Coefficients!$H$4*(INDEX(Coefficients!$D$2:$D$40,MATCH($A21,Coefficients!$A$2:$A$40,0))+INDEX(Coefficients!$C$2:$C$40,MATCH($A21,Coefficients!$A$2:$A$40,0))/0.35+Coefficients!$H$2*0.35)</f>
        <v>0.422689392551321</v>
      </c>
      <c r="E21" s="12" t="n">
        <f aca="false">Coefficients!$H$4*(INDEX(Coefficients!$D$2:$D$40,MATCH($A21,Coefficients!$A$2:$A$40,0))+INDEX(Coefficients!$C$2:$C$40,MATCH($A21,Coefficients!$A$2:$A$40,0))/0.5+Coefficients!$H$2*0.5)</f>
        <v>0.398917502625758</v>
      </c>
      <c r="F21" s="12" t="n">
        <f aca="false">Coefficients!$H$4*(INDEX(Coefficients!$D$2:$D$40,MATCH($A21,Coefficients!$A$2:$A$40,0))+INDEX(Coefficients!$C$2:$C$40,MATCH($A21,Coefficients!$A$2:$A$40,0))/0.75+Coefficients!$H$2*0.75)</f>
        <v>0.390619446773603</v>
      </c>
      <c r="G21" s="12" t="n">
        <v>0.395</v>
      </c>
      <c r="H21" s="12" t="n">
        <v>0.452</v>
      </c>
    </row>
    <row r="22" customFormat="false" ht="15" hidden="false" customHeight="true" outlineLevel="0" collapsed="false">
      <c r="A22" s="7" t="s">
        <v>36</v>
      </c>
      <c r="B22" s="7" t="s">
        <v>49</v>
      </c>
      <c r="C22" s="12" t="n">
        <f aca="false">Coefficients!$H$3*(INDEX(Coefficients!$D$2:$D$40,MATCH($A22,Coefficients!$A$2:$A$40,0))+INDEX(Coefficients!$C$2:$C$40,MATCH($A22,Coefficients!$A$2:$A$40,0))/0.25+Coefficients!$H$2*0.25)</f>
        <v>0.3073741937405</v>
      </c>
      <c r="D22" s="12" t="n">
        <f aca="false">Coefficients!$H$3*(INDEX(Coefficients!$D$2:$D$40,MATCH($A22,Coefficients!$A$2:$A$40,0))+INDEX(Coefficients!$C$2:$C$40,MATCH($A22,Coefficients!$A$2:$A$40,0))/0.35+Coefficients!$H$2*0.35)</f>
        <v>0.28445593349473</v>
      </c>
      <c r="E22" s="12" t="n">
        <f aca="false">Coefficients!$H$3*(INDEX(Coefficients!$D$2:$D$40,MATCH($A22,Coefficients!$A$2:$A$40,0))+INDEX(Coefficients!$C$2:$C$40,MATCH($A22,Coefficients!$A$2:$A$40,0))/0.5+Coefficients!$H$2*0.5)</f>
        <v>0.273486766801928</v>
      </c>
      <c r="F22" s="12" t="n">
        <f aca="false">Coefficients!$H$3*(INDEX(Coefficients!$D$2:$D$40,MATCH($A22,Coefficients!$A$2:$A$40,0))+INDEX(Coefficients!$C$2:$C$40,MATCH($A22,Coefficients!$A$2:$A$40,0))/0.75+Coefficients!$H$2*0.75)</f>
        <v>0.276012132248017</v>
      </c>
      <c r="G22" s="12" t="n">
        <v>0.283</v>
      </c>
      <c r="H22" s="12" t="n">
        <v>0.286</v>
      </c>
    </row>
    <row r="23" customFormat="false" ht="15" hidden="false" customHeight="true" outlineLevel="0" collapsed="false">
      <c r="A23" s="7" t="s">
        <v>36</v>
      </c>
      <c r="B23" s="7" t="s">
        <v>5</v>
      </c>
      <c r="C23" s="12" t="n">
        <f aca="false">Coefficients!$H$4*(INDEX(Coefficients!$D$2:$D$40,MATCH($A23,Coefficients!$A$2:$A$40,0))+INDEX(Coefficients!$C$2:$C$40,MATCH($A23,Coefficients!$A$2:$A$40,0))/0.25+Coefficients!$H$2*0.25)</f>
        <v>0.283307091634764</v>
      </c>
      <c r="D23" s="12" t="n">
        <f aca="false">Coefficients!$H$4*(INDEX(Coefficients!$D$2:$D$40,MATCH($A23,Coefficients!$A$2:$A$40,0))+INDEX(Coefficients!$C$2:$C$40,MATCH($A23,Coefficients!$A$2:$A$40,0))/0.35+Coefficients!$H$2*0.35)</f>
        <v>0.262183309001797</v>
      </c>
      <c r="E23" s="12" t="n">
        <f aca="false">Coefficients!$H$4*(INDEX(Coefficients!$D$2:$D$40,MATCH($A23,Coefficients!$A$2:$A$40,0))+INDEX(Coefficients!$C$2:$C$40,MATCH($A23,Coefficients!$A$2:$A$40,0))/0.5+Coefficients!$H$2*0.5)</f>
        <v>0.252073017452669</v>
      </c>
      <c r="F23" s="12" t="n">
        <f aca="false">Coefficients!$H$4*(INDEX(Coefficients!$D$2:$D$40,MATCH($A23,Coefficients!$A$2:$A$40,0))+INDEX(Coefficients!$C$2:$C$40,MATCH($A23,Coefficients!$A$2:$A$40,0))/0.75+Coefficients!$H$2*0.75)</f>
        <v>0.254400649226632</v>
      </c>
      <c r="G23" s="12" t="n">
        <v>0.26</v>
      </c>
      <c r="H23" s="12" t="n">
        <v>0.276</v>
      </c>
    </row>
    <row r="24" customFormat="false" ht="15" hidden="false" customHeight="true" outlineLevel="0" collapsed="false">
      <c r="A24" s="7" t="s">
        <v>37</v>
      </c>
      <c r="B24" s="7" t="s">
        <v>49</v>
      </c>
      <c r="C24" s="12" t="n">
        <f aca="false">Coefficients!$H$3*(INDEX(Coefficients!$D$2:$D$40,MATCH($A24,Coefficients!$A$2:$A$40,0))+INDEX(Coefficients!$C$2:$C$40,MATCH($A24,Coefficients!$A$2:$A$40,0))/0.25+Coefficients!$H$2*0.25)</f>
        <v>0.371878908113033</v>
      </c>
      <c r="D24" s="12" t="n">
        <f aca="false">Coefficients!$H$3*(INDEX(Coefficients!$D$2:$D$40,MATCH($A24,Coefficients!$A$2:$A$40,0))+INDEX(Coefficients!$C$2:$C$40,MATCH($A24,Coefficients!$A$2:$A$40,0))/0.35+Coefficients!$H$2*0.35)</f>
        <v>0.339900112951185</v>
      </c>
      <c r="E24" s="12" t="n">
        <f aca="false">Coefficients!$H$3*(INDEX(Coefficients!$D$2:$D$40,MATCH($A24,Coefficients!$A$2:$A$40,0))+INDEX(Coefficients!$C$2:$C$40,MATCH($A24,Coefficients!$A$2:$A$40,0))/0.5+Coefficients!$H$2*0.5)</f>
        <v>0.322135545071325</v>
      </c>
      <c r="F24" s="12" t="n">
        <f aca="false">Coefficients!$H$3*(INDEX(Coefficients!$D$2:$D$40,MATCH($A24,Coefficients!$A$2:$A$40,0))+INDEX(Coefficients!$C$2:$C$40,MATCH($A24,Coefficients!$A$2:$A$40,0))/0.75+Coefficients!$H$2*0.75)</f>
        <v>0.319375598483036</v>
      </c>
      <c r="G24" s="12" t="n">
        <v>0.333</v>
      </c>
      <c r="H24" s="12" t="n">
        <v>0.346</v>
      </c>
    </row>
    <row r="25" customFormat="false" ht="15" hidden="false" customHeight="true" outlineLevel="0" collapsed="false">
      <c r="A25" s="7" t="s">
        <v>37</v>
      </c>
      <c r="B25" s="7" t="s">
        <v>5</v>
      </c>
      <c r="C25" s="12" t="n">
        <f aca="false">Coefficients!$H$4*(INDEX(Coefficients!$D$2:$D$40,MATCH($A25,Coefficients!$A$2:$A$40,0))+INDEX(Coefficients!$C$2:$C$40,MATCH($A25,Coefficients!$A$2:$A$40,0))/0.25+Coefficients!$H$2*0.25)</f>
        <v>0.342761149254974</v>
      </c>
      <c r="D25" s="12" t="n">
        <f aca="false">Coefficients!$H$4*(INDEX(Coefficients!$D$2:$D$40,MATCH($A25,Coefficients!$A$2:$A$40,0))+INDEX(Coefficients!$C$2:$C$40,MATCH($A25,Coefficients!$A$2:$A$40,0))/0.35+Coefficients!$H$2*0.35)</f>
        <v>0.31328626282734</v>
      </c>
      <c r="E25" s="12" t="n">
        <f aca="false">Coefficients!$H$4*(INDEX(Coefficients!$D$2:$D$40,MATCH($A25,Coefficients!$A$2:$A$40,0))+INDEX(Coefficients!$C$2:$C$40,MATCH($A25,Coefficients!$A$2:$A$40,0))/0.5+Coefficients!$H$2*0.5)</f>
        <v>0.296912643432211</v>
      </c>
      <c r="F25" s="12" t="n">
        <f aca="false">Coefficients!$H$4*(INDEX(Coefficients!$D$2:$D$40,MATCH($A25,Coefficients!$A$2:$A$40,0))+INDEX(Coefficients!$C$2:$C$40,MATCH($A25,Coefficients!$A$2:$A$40,0))/0.75+Coefficients!$H$2*0.75)</f>
        <v>0.294368797992618</v>
      </c>
      <c r="G25" s="12" t="n">
        <v>0.311</v>
      </c>
      <c r="H25" s="12" t="n">
        <v>0.326</v>
      </c>
    </row>
    <row r="26" customFormat="false" ht="15" hidden="false" customHeight="true" outlineLevel="0" collapsed="false">
      <c r="A26" s="7" t="s">
        <v>38</v>
      </c>
      <c r="B26" s="7" t="s">
        <v>49</v>
      </c>
      <c r="C26" s="12" t="n">
        <f aca="false">Coefficients!$H$3*(INDEX(Coefficients!$D$2:$D$40,MATCH($A26,Coefficients!$A$2:$A$40,0))+INDEX(Coefficients!$C$2:$C$40,MATCH($A26,Coefficients!$A$2:$A$40,0))/0.25+Coefficients!$H$2*0.25)</f>
        <v>0.458560665383854</v>
      </c>
      <c r="D26" s="12" t="n">
        <f aca="false">Coefficients!$H$3*(INDEX(Coefficients!$D$2:$D$40,MATCH($A26,Coefficients!$A$2:$A$40,0))+INDEX(Coefficients!$C$2:$C$40,MATCH($A26,Coefficients!$A$2:$A$40,0))/0.35+Coefficients!$H$2*0.35)</f>
        <v>0.466853370039222</v>
      </c>
      <c r="E26" s="12" t="n">
        <f aca="false">Coefficients!$H$3*(INDEX(Coefficients!$D$2:$D$40,MATCH($A26,Coefficients!$A$2:$A$40,0))+INDEX(Coefficients!$C$2:$C$40,MATCH($A26,Coefficients!$A$2:$A$40,0))/0.5+Coefficients!$H$2*0.5)</f>
        <v>0.479292427022274</v>
      </c>
      <c r="F26" s="12" t="n">
        <f aca="false">Coefficients!$H$3*(INDEX(Coefficients!$D$2:$D$40,MATCH($A26,Coefficients!$A$2:$A$40,0))+INDEX(Coefficients!$C$2:$C$40,MATCH($A26,Coefficients!$A$2:$A$40,0))/0.75+Coefficients!$H$2*0.75)</f>
        <v>0.500024188660694</v>
      </c>
      <c r="G26" s="12" t="n">
        <v>0.405</v>
      </c>
      <c r="H26" s="12" t="n">
        <v>0.496</v>
      </c>
    </row>
    <row r="27" customFormat="false" ht="15" hidden="false" customHeight="true" outlineLevel="0" collapsed="false">
      <c r="A27" s="7" t="s">
        <v>38</v>
      </c>
      <c r="B27" s="7" t="s">
        <v>5</v>
      </c>
      <c r="C27" s="12" t="n">
        <f aca="false">Coefficients!$H$4*(INDEX(Coefficients!$D$2:$D$40,MATCH($A27,Coefficients!$A$2:$A$40,0))+INDEX(Coefficients!$C$2:$C$40,MATCH($A27,Coefficients!$A$2:$A$40,0))/0.25+Coefficients!$H$2*0.25)</f>
        <v>0.42265580876214</v>
      </c>
      <c r="D27" s="12" t="n">
        <f aca="false">Coefficients!$H$4*(INDEX(Coefficients!$D$2:$D$40,MATCH($A27,Coefficients!$A$2:$A$40,0))+INDEX(Coefficients!$C$2:$C$40,MATCH($A27,Coefficients!$A$2:$A$40,0))/0.35+Coefficients!$H$2*0.35)</f>
        <v>0.430299202662937</v>
      </c>
      <c r="E27" s="12" t="n">
        <f aca="false">Coefficients!$H$4*(INDEX(Coefficients!$D$2:$D$40,MATCH($A27,Coefficients!$A$2:$A$40,0))+INDEX(Coefficients!$C$2:$C$40,MATCH($A27,Coefficients!$A$2:$A$40,0))/0.5+Coefficients!$H$2*0.5)</f>
        <v>0.441764293514131</v>
      </c>
      <c r="F27" s="12" t="n">
        <f aca="false">Coefficients!$H$4*(INDEX(Coefficients!$D$2:$D$40,MATCH($A27,Coefficients!$A$2:$A$40,0))+INDEX(Coefficients!$C$2:$C$40,MATCH($A27,Coefficients!$A$2:$A$40,0))/0.75+Coefficients!$H$2*0.75)</f>
        <v>0.460872778266123</v>
      </c>
      <c r="G27" s="12" t="n">
        <v>0.377</v>
      </c>
      <c r="H27" s="12" t="n">
        <v>0.463</v>
      </c>
    </row>
    <row r="28" customFormat="false" ht="15" hidden="false" customHeight="true" outlineLevel="0" collapsed="false">
      <c r="A28" s="7" t="s">
        <v>39</v>
      </c>
      <c r="B28" s="7" t="s">
        <v>49</v>
      </c>
      <c r="C28" s="12" t="n">
        <f aca="false">Coefficients!$H$3*(INDEX(Coefficients!$D$2:$D$40,MATCH($A28,Coefficients!$A$2:$A$40,0))+INDEX(Coefficients!$C$2:$C$40,MATCH($A28,Coefficients!$A$2:$A$40,0))/0.25+Coefficients!$H$2*0.25)</f>
        <v>0.364422945956082</v>
      </c>
      <c r="D28" s="12" t="n">
        <f aca="false">Coefficients!$H$3*(INDEX(Coefficients!$D$2:$D$40,MATCH($A28,Coefficients!$A$2:$A$40,0))+INDEX(Coefficients!$C$2:$C$40,MATCH($A28,Coefficients!$A$2:$A$40,0))/0.35+Coefficients!$H$2*0.35)</f>
        <v>0.309505481734386</v>
      </c>
      <c r="E28" s="12" t="n">
        <f aca="false">Coefficients!$H$3*(INDEX(Coefficients!$D$2:$D$40,MATCH($A28,Coefficients!$A$2:$A$40,0))+INDEX(Coefficients!$C$2:$C$40,MATCH($A28,Coefficients!$A$2:$A$40,0))/0.5+Coefficients!$H$2*0.5)</f>
        <v>0.27453691205964</v>
      </c>
      <c r="F28" s="12" t="n">
        <f aca="false">Coefficients!$H$3*(INDEX(Coefficients!$D$2:$D$40,MATCH($A28,Coefficients!$A$2:$A$40,0))+INDEX(Coefficients!$C$2:$C$40,MATCH($A28,Coefficients!$A$2:$A$40,0))/0.75+Coefficients!$H$2*0.75)</f>
        <v>0.25839607518644</v>
      </c>
      <c r="G28" s="12" t="n">
        <v>0.301</v>
      </c>
      <c r="H28" s="12" t="n">
        <v>0.318</v>
      </c>
    </row>
    <row r="29" customFormat="false" ht="15" hidden="false" customHeight="true" outlineLevel="0" collapsed="false">
      <c r="A29" s="7" t="s">
        <v>39</v>
      </c>
      <c r="B29" s="7" t="s">
        <v>5</v>
      </c>
      <c r="C29" s="12" t="n">
        <f aca="false">Coefficients!$H$4*(INDEX(Coefficients!$D$2:$D$40,MATCH($A29,Coefficients!$A$2:$A$40,0))+INDEX(Coefficients!$C$2:$C$40,MATCH($A29,Coefficients!$A$2:$A$40,0))/0.25+Coefficients!$H$2*0.25)</f>
        <v>0.335888981724189</v>
      </c>
      <c r="D29" s="12" t="n">
        <f aca="false">Coefficients!$H$4*(INDEX(Coefficients!$D$2:$D$40,MATCH($A29,Coefficients!$A$2:$A$40,0))+INDEX(Coefficients!$C$2:$C$40,MATCH($A29,Coefficients!$A$2:$A$40,0))/0.35+Coefficients!$H$2*0.35)</f>
        <v>0.285271501839915</v>
      </c>
      <c r="E29" s="12" t="n">
        <f aca="false">Coefficients!$H$4*(INDEX(Coefficients!$D$2:$D$40,MATCH($A29,Coefficients!$A$2:$A$40,0))+INDEX(Coefficients!$C$2:$C$40,MATCH($A29,Coefficients!$A$2:$A$40,0))/0.5+Coefficients!$H$2*0.5)</f>
        <v>0.253040937352306</v>
      </c>
      <c r="F29" s="12" t="n">
        <f aca="false">Coefficients!$H$4*(INDEX(Coefficients!$D$2:$D$40,MATCH($A29,Coefficients!$A$2:$A$40,0))+INDEX(Coefficients!$C$2:$C$40,MATCH($A29,Coefficients!$A$2:$A$40,0))/0.75+Coefficients!$H$2*0.75)</f>
        <v>0.23816391239634</v>
      </c>
      <c r="G29" s="12" t="n">
        <v>0.278</v>
      </c>
      <c r="H29" s="12" t="n">
        <v>0.302</v>
      </c>
    </row>
    <row r="30" customFormat="false" ht="15" hidden="false" customHeight="true" outlineLevel="0" collapsed="false">
      <c r="A30" s="7" t="s">
        <v>40</v>
      </c>
      <c r="B30" s="7" t="s">
        <v>49</v>
      </c>
      <c r="C30" s="12" t="n">
        <f aca="false">Coefficients!$H$3*(INDEX(Coefficients!$D$2:$D$40,MATCH($A30,Coefficients!$A$2:$A$40,0))+INDEX(Coefficients!$C$2:$C$40,MATCH($A30,Coefficients!$A$2:$A$40,0))/0.25+Coefficients!$H$2*0.25)</f>
        <v>0.364949446025174</v>
      </c>
      <c r="D30" s="12" t="n">
        <f aca="false">Coefficients!$H$3*(INDEX(Coefficients!$D$2:$D$40,MATCH($A30,Coefficients!$A$2:$A$40,0))+INDEX(Coefficients!$C$2:$C$40,MATCH($A30,Coefficients!$A$2:$A$40,0))/0.35+Coefficients!$H$2*0.35)</f>
        <v>0.318337792230891</v>
      </c>
      <c r="E30" s="12" t="n">
        <f aca="false">Coefficients!$H$3*(INDEX(Coefficients!$D$2:$D$40,MATCH($A30,Coefficients!$A$2:$A$40,0))+INDEX(Coefficients!$C$2:$C$40,MATCH($A30,Coefficients!$A$2:$A$40,0))/0.5+Coefficients!$H$2*0.5)</f>
        <v>0.289598580376705</v>
      </c>
      <c r="F30" s="12" t="n">
        <f aca="false">Coefficients!$H$3*(INDEX(Coefficients!$D$2:$D$40,MATCH($A30,Coefficients!$A$2:$A$40,0))+INDEX(Coefficients!$C$2:$C$40,MATCH($A30,Coefficients!$A$2:$A$40,0))/0.75+Coefficients!$H$2*0.75)</f>
        <v>0.278302799586162</v>
      </c>
      <c r="G30" s="12" t="n">
        <v>0.304</v>
      </c>
      <c r="H30" s="12" t="n">
        <v>0.333</v>
      </c>
    </row>
    <row r="31" customFormat="false" ht="15" hidden="false" customHeight="true" outlineLevel="0" collapsed="false">
      <c r="A31" s="7" t="s">
        <v>40</v>
      </c>
      <c r="B31" s="7" t="s">
        <v>5</v>
      </c>
      <c r="C31" s="12" t="n">
        <f aca="false">Coefficients!$H$4*(INDEX(Coefficients!$D$2:$D$40,MATCH($A31,Coefficients!$A$2:$A$40,0))+INDEX(Coefficients!$C$2:$C$40,MATCH($A31,Coefficients!$A$2:$A$40,0))/0.25+Coefficients!$H$2*0.25)</f>
        <v>0.336374257347054</v>
      </c>
      <c r="D31" s="12" t="n">
        <f aca="false">Coefficients!$H$4*(INDEX(Coefficients!$D$2:$D$40,MATCH($A31,Coefficients!$A$2:$A$40,0))+INDEX(Coefficients!$C$2:$C$40,MATCH($A31,Coefficients!$A$2:$A$40,0))/0.35+Coefficients!$H$2*0.35)</f>
        <v>0.293412250966345</v>
      </c>
      <c r="E31" s="12" t="n">
        <f aca="false">Coefficients!$H$4*(INDEX(Coefficients!$D$2:$D$40,MATCH($A31,Coefficients!$A$2:$A$40,0))+INDEX(Coefficients!$C$2:$C$40,MATCH($A31,Coefficients!$A$2:$A$40,0))/0.5+Coefficients!$H$2*0.5)</f>
        <v>0.26692329160641</v>
      </c>
      <c r="F31" s="12" t="n">
        <f aca="false">Coefficients!$H$4*(INDEX(Coefficients!$D$2:$D$40,MATCH($A31,Coefficients!$A$2:$A$40,0))+INDEX(Coefficients!$C$2:$C$40,MATCH($A31,Coefficients!$A$2:$A$40,0))/0.75+Coefficients!$H$2*0.75)</f>
        <v>0.256511959527523</v>
      </c>
      <c r="G31" s="12" t="n">
        <v>0.283</v>
      </c>
      <c r="H31" s="12" t="n">
        <v>0.31</v>
      </c>
    </row>
    <row r="32" customFormat="false" ht="15" hidden="false" customHeight="true" outlineLevel="0" collapsed="false">
      <c r="A32" s="7" t="s">
        <v>41</v>
      </c>
      <c r="B32" s="7" t="s">
        <v>49</v>
      </c>
      <c r="C32" s="12" t="n">
        <f aca="false">Coefficients!$H$3*(INDEX(Coefficients!$D$2:$D$40,MATCH($A32,Coefficients!$A$2:$A$40,0))+INDEX(Coefficients!$C$2:$C$40,MATCH($A32,Coefficients!$A$2:$A$40,0))/0.25+Coefficients!$H$2*0.25)</f>
        <v>0.439084757291517</v>
      </c>
      <c r="D32" s="12" t="n">
        <f aca="false">Coefficients!$H$3*(INDEX(Coefficients!$D$2:$D$40,MATCH($A32,Coefficients!$A$2:$A$40,0))+INDEX(Coefficients!$C$2:$C$40,MATCH($A32,Coefficients!$A$2:$A$40,0))/0.35+Coefficients!$H$2*0.35)</f>
        <v>0.414517956673378</v>
      </c>
      <c r="E32" s="12" t="n">
        <f aca="false">Coefficients!$H$3*(INDEX(Coefficients!$D$2:$D$40,MATCH($A32,Coefficients!$A$2:$A$40,0))+INDEX(Coefficients!$C$2:$C$40,MATCH($A32,Coefficients!$A$2:$A$40,0))/0.5+Coefficients!$H$2*0.5)</f>
        <v>0.402312384701299</v>
      </c>
      <c r="F32" s="12" t="n">
        <f aca="false">Coefficients!$H$3*(INDEX(Coefficients!$D$2:$D$40,MATCH($A32,Coefficients!$A$2:$A$40,0))+INDEX(Coefficients!$C$2:$C$40,MATCH($A32,Coefficients!$A$2:$A$40,0))/0.75+Coefficients!$H$2*0.75)</f>
        <v>0.403876101596839</v>
      </c>
      <c r="G32" s="12" t="n">
        <v>0.414</v>
      </c>
      <c r="H32" s="12" t="n">
        <v>0.42</v>
      </c>
    </row>
    <row r="33" customFormat="false" ht="15" hidden="false" customHeight="true" outlineLevel="0" collapsed="false">
      <c r="A33" s="7" t="s">
        <v>41</v>
      </c>
      <c r="B33" s="7" t="s">
        <v>5</v>
      </c>
      <c r="C33" s="12" t="n">
        <f aca="false">Coefficients!$H$4*(INDEX(Coefficients!$D$2:$D$40,MATCH($A33,Coefficients!$A$2:$A$40,0))+INDEX(Coefficients!$C$2:$C$40,MATCH($A33,Coefficients!$A$2:$A$40,0))/0.25+Coefficients!$H$2*0.25)</f>
        <v>0.40470484543812</v>
      </c>
      <c r="D33" s="12" t="n">
        <f aca="false">Coefficients!$H$4*(INDEX(Coefficients!$D$2:$D$40,MATCH($A33,Coefficients!$A$2:$A$40,0))+INDEX(Coefficients!$C$2:$C$40,MATCH($A33,Coefficients!$A$2:$A$40,0))/0.35+Coefficients!$H$2*0.35)</f>
        <v>0.382061601549623</v>
      </c>
      <c r="E33" s="12" t="n">
        <f aca="false">Coefficients!$H$4*(INDEX(Coefficients!$D$2:$D$40,MATCH($A33,Coefficients!$A$2:$A$40,0))+INDEX(Coefficients!$C$2:$C$40,MATCH($A33,Coefficients!$A$2:$A$40,0))/0.5+Coefficients!$H$2*0.5)</f>
        <v>0.370811714058848</v>
      </c>
      <c r="F33" s="12" t="n">
        <f aca="false">Coefficients!$H$4*(INDEX(Coefficients!$D$2:$D$40,MATCH($A33,Coefficients!$A$2:$A$40,0))+INDEX(Coefficients!$C$2:$C$40,MATCH($A33,Coefficients!$A$2:$A$40,0))/0.75+Coefficients!$H$2*0.75)</f>
        <v>0.372252993433751</v>
      </c>
      <c r="G33" s="12" t="n">
        <v>0.38</v>
      </c>
      <c r="H33" s="12" t="n">
        <v>0.403</v>
      </c>
    </row>
    <row r="35" customFormat="false" ht="15" hidden="false" customHeight="true" outlineLevel="0" collapsed="false">
      <c r="A35" s="6"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0"/>
    <col collapsed="false" customWidth="true" hidden="false" outlineLevel="0" max="3" min="3" style="1" width="17"/>
    <col collapsed="false" customWidth="true" hidden="false" outlineLevel="0" max="4" min="4" style="1" width="30"/>
    <col collapsed="false" customWidth="true" hidden="false" outlineLevel="0" max="5" min="5" style="1" width="31"/>
  </cols>
  <sheetData>
    <row r="1" customFormat="false" ht="15" hidden="false" customHeight="true" outlineLevel="0" collapsed="false">
      <c r="A1" s="10" t="s">
        <v>51</v>
      </c>
      <c r="B1" s="10" t="s">
        <v>52</v>
      </c>
      <c r="C1" s="10" t="s">
        <v>53</v>
      </c>
      <c r="D1" s="10" t="s">
        <v>54</v>
      </c>
      <c r="E1" s="10" t="s">
        <v>55</v>
      </c>
      <c r="F1" s="13" t="s">
        <v>56</v>
      </c>
    </row>
    <row r="2" customFormat="false" ht="15" hidden="false" customHeight="true" outlineLevel="0" collapsed="false">
      <c r="A2" s="7" t="s">
        <v>57</v>
      </c>
      <c r="B2" s="7" t="n">
        <v>3</v>
      </c>
      <c r="C2" s="14" t="n">
        <v>21907</v>
      </c>
      <c r="D2" s="14" t="n">
        <v>18611</v>
      </c>
      <c r="E2" s="15" t="n">
        <f aca="false">D2/C2-1</f>
        <v>-0.150454192723787</v>
      </c>
      <c r="F2" s="16" t="n">
        <f aca="false">ABS(E2)</f>
        <v>0.150454192723787</v>
      </c>
    </row>
    <row r="3" customFormat="false" ht="15" hidden="false" customHeight="true" outlineLevel="0" collapsed="false">
      <c r="A3" s="7" t="s">
        <v>58</v>
      </c>
      <c r="B3" s="7" t="n">
        <v>10</v>
      </c>
      <c r="C3" s="14" t="n">
        <v>145370</v>
      </c>
      <c r="D3" s="14" t="n">
        <v>131054</v>
      </c>
      <c r="E3" s="15" t="n">
        <f aca="false">D3/C3-1</f>
        <v>-0.0984797413496595</v>
      </c>
      <c r="F3" s="16" t="n">
        <f aca="false">ABS(E3)</f>
        <v>0.0984797413496595</v>
      </c>
    </row>
    <row r="4" customFormat="false" ht="15" hidden="false" customHeight="true" outlineLevel="0" collapsed="false">
      <c r="A4" s="7" t="s">
        <v>59</v>
      </c>
      <c r="B4" s="7" t="n">
        <v>19</v>
      </c>
      <c r="C4" s="14" t="n">
        <v>169614</v>
      </c>
      <c r="D4" s="14" t="n">
        <v>154997</v>
      </c>
      <c r="E4" s="15" t="n">
        <f aca="false">D4/C4-1</f>
        <v>-0.0861780277571427</v>
      </c>
      <c r="F4" s="16" t="n">
        <f aca="false">ABS(E4)</f>
        <v>0.0861780277571427</v>
      </c>
    </row>
    <row r="5" customFormat="false" ht="15" hidden="false" customHeight="true" outlineLevel="0" collapsed="false">
      <c r="A5" s="7" t="s">
        <v>60</v>
      </c>
      <c r="B5" s="7" t="n">
        <v>7</v>
      </c>
      <c r="C5" s="14" t="n">
        <v>238320</v>
      </c>
      <c r="D5" s="14" t="n">
        <v>218074</v>
      </c>
      <c r="E5" s="15" t="n">
        <f aca="false">D5/C5-1</f>
        <v>-0.0849530043638805</v>
      </c>
      <c r="F5" s="16" t="n">
        <f aca="false">ABS(E5)</f>
        <v>0.0849530043638805</v>
      </c>
    </row>
    <row r="6" customFormat="false" ht="15" hidden="false" customHeight="true" outlineLevel="0" collapsed="false">
      <c r="A6" s="7" t="s">
        <v>61</v>
      </c>
      <c r="B6" s="7" t="n">
        <v>14</v>
      </c>
      <c r="C6" s="14" t="n">
        <v>1047206</v>
      </c>
      <c r="D6" s="14" t="n">
        <v>983049</v>
      </c>
      <c r="E6" s="15" t="n">
        <f aca="false">D6/C6-1</f>
        <v>-0.0612649278174495</v>
      </c>
      <c r="F6" s="16" t="n">
        <f aca="false">ABS(E6)</f>
        <v>0.0612649278174495</v>
      </c>
    </row>
    <row r="7" customFormat="false" ht="15" hidden="false" customHeight="true" outlineLevel="0" collapsed="false">
      <c r="A7" s="7" t="s">
        <v>62</v>
      </c>
      <c r="B7" s="7" t="n">
        <v>11</v>
      </c>
      <c r="C7" s="14" t="n">
        <v>1342047</v>
      </c>
      <c r="D7" s="14" t="n">
        <v>1264903</v>
      </c>
      <c r="E7" s="15" t="n">
        <f aca="false">D7/C7-1</f>
        <v>-0.0574823385470107</v>
      </c>
      <c r="F7" s="16" t="n">
        <f aca="false">ABS(E7)</f>
        <v>0.0574823385470107</v>
      </c>
    </row>
    <row r="8" customFormat="false" ht="15" hidden="false" customHeight="true" outlineLevel="0" collapsed="false">
      <c r="A8" s="7" t="s">
        <v>63</v>
      </c>
      <c r="B8" s="7" t="n">
        <v>15</v>
      </c>
      <c r="C8" s="14" t="n">
        <v>2406769</v>
      </c>
      <c r="D8" s="14" t="n">
        <v>2270959</v>
      </c>
      <c r="E8" s="15" t="n">
        <f aca="false">D8/C8-1</f>
        <v>-0.0564283485452904</v>
      </c>
      <c r="F8" s="16" t="n">
        <f aca="false">ABS(E8)</f>
        <v>0.0564283485452904</v>
      </c>
    </row>
    <row r="9" customFormat="false" ht="15" hidden="false" customHeight="true" outlineLevel="0" collapsed="false">
      <c r="A9" s="7" t="s">
        <v>64</v>
      </c>
      <c r="B9" s="7" t="n">
        <v>1</v>
      </c>
      <c r="C9" s="14" t="n">
        <v>21372</v>
      </c>
      <c r="D9" s="14" t="n">
        <v>20336</v>
      </c>
      <c r="E9" s="15" t="n">
        <f aca="false">D9/C9-1</f>
        <v>-0.0484746397155156</v>
      </c>
      <c r="F9" s="16" t="n">
        <f aca="false">ABS(E9)</f>
        <v>0.0484746397155156</v>
      </c>
    </row>
    <row r="10" customFormat="false" ht="15" hidden="false" customHeight="true" outlineLevel="0" collapsed="false">
      <c r="A10" s="7" t="s">
        <v>65</v>
      </c>
      <c r="B10" s="7" t="n">
        <v>16</v>
      </c>
      <c r="C10" s="14" t="n">
        <v>124843</v>
      </c>
      <c r="D10" s="14" t="n">
        <v>120671</v>
      </c>
      <c r="E10" s="15" t="n">
        <f aca="false">D10/C10-1</f>
        <v>-0.0334179729740555</v>
      </c>
      <c r="F10" s="16" t="n">
        <f aca="false">ABS(E10)</f>
        <v>0.0334179729740555</v>
      </c>
    </row>
    <row r="11" customFormat="false" ht="15" hidden="false" customHeight="true" outlineLevel="0" collapsed="false">
      <c r="A11" s="7" t="s">
        <v>66</v>
      </c>
      <c r="B11" s="7" t="n">
        <v>3</v>
      </c>
      <c r="C11" s="14" t="n">
        <v>335751</v>
      </c>
      <c r="D11" s="14" t="n">
        <v>324643</v>
      </c>
      <c r="E11" s="15" t="n">
        <f aca="false">D11/C11-1</f>
        <v>-0.0330840414473821</v>
      </c>
      <c r="F11" s="16" t="n">
        <f aca="false">ABS(E11)</f>
        <v>0.0330840414473821</v>
      </c>
    </row>
    <row r="12" customFormat="false" ht="15" hidden="false" customHeight="true" outlineLevel="0" collapsed="false">
      <c r="A12" s="7" t="s">
        <v>67</v>
      </c>
      <c r="B12" s="7" t="n">
        <v>8</v>
      </c>
      <c r="C12" s="14" t="n">
        <v>603167</v>
      </c>
      <c r="D12" s="14" t="n">
        <v>586950</v>
      </c>
      <c r="E12" s="15" t="n">
        <f aca="false">D12/C12-1</f>
        <v>-0.0268864178577409</v>
      </c>
      <c r="F12" s="16" t="n">
        <f aca="false">ABS(E12)</f>
        <v>0.0268864178577409</v>
      </c>
    </row>
    <row r="13" customFormat="false" ht="15" hidden="false" customHeight="true" outlineLevel="0" collapsed="false">
      <c r="A13" s="7" t="s">
        <v>68</v>
      </c>
      <c r="B13" s="7" t="n">
        <v>1</v>
      </c>
      <c r="C13" s="14" t="n">
        <v>8705</v>
      </c>
      <c r="D13" s="14" t="n">
        <v>8557</v>
      </c>
      <c r="E13" s="15" t="n">
        <f aca="false">D13/C13-1</f>
        <v>-0.0170017231476163</v>
      </c>
      <c r="F13" s="16" t="n">
        <f aca="false">ABS(E13)</f>
        <v>0.0170017231476163</v>
      </c>
    </row>
    <row r="14" customFormat="false" ht="15" hidden="false" customHeight="true" outlineLevel="0" collapsed="false">
      <c r="A14" s="7" t="s">
        <v>69</v>
      </c>
      <c r="B14" s="7" t="n">
        <v>18</v>
      </c>
      <c r="C14" s="14" t="n">
        <v>715245</v>
      </c>
      <c r="D14" s="14" t="n">
        <v>706089</v>
      </c>
      <c r="E14" s="15" t="n">
        <f aca="false">D14/C14-1</f>
        <v>-0.0128012079776859</v>
      </c>
      <c r="F14" s="16" t="n">
        <f aca="false">ABS(E14)</f>
        <v>0.0128012079776859</v>
      </c>
    </row>
    <row r="15" customFormat="false" ht="15" hidden="false" customHeight="true" outlineLevel="0" collapsed="false">
      <c r="A15" s="7" t="s">
        <v>70</v>
      </c>
      <c r="B15" s="7" t="n">
        <v>10</v>
      </c>
      <c r="C15" s="14" t="n">
        <v>631455</v>
      </c>
      <c r="D15" s="14" t="n">
        <v>628374</v>
      </c>
      <c r="E15" s="15" t="n">
        <f aca="false">D15/C15-1</f>
        <v>-0.00487920754448057</v>
      </c>
      <c r="F15" s="16" t="n">
        <f aca="false">ABS(E15)</f>
        <v>0.00487920754448057</v>
      </c>
    </row>
    <row r="16" customFormat="false" ht="15" hidden="false" customHeight="true" outlineLevel="0" collapsed="false">
      <c r="A16" s="7" t="s">
        <v>71</v>
      </c>
      <c r="B16" s="7" t="n">
        <v>18</v>
      </c>
      <c r="C16" s="14" t="n">
        <v>360684</v>
      </c>
      <c r="D16" s="14" t="n">
        <v>358774</v>
      </c>
      <c r="E16" s="15" t="n">
        <f aca="false">D16/C16-1</f>
        <v>-0.0052954941167338</v>
      </c>
      <c r="F16" s="16" t="n">
        <f aca="false">ABS(E16)</f>
        <v>0.0052954941167338</v>
      </c>
    </row>
    <row r="17" customFormat="false" ht="15" hidden="false" customHeight="true" outlineLevel="0" collapsed="false">
      <c r="A17" s="7" t="s">
        <v>72</v>
      </c>
      <c r="B17" s="7" t="n">
        <v>18</v>
      </c>
      <c r="C17" s="14" t="n">
        <v>2138484</v>
      </c>
      <c r="D17" s="14" t="n">
        <v>2129509</v>
      </c>
      <c r="E17" s="15" t="n">
        <f aca="false">D17/C17-1</f>
        <v>-0.00419689836351356</v>
      </c>
      <c r="F17" s="16" t="n">
        <f aca="false">ABS(E17)</f>
        <v>0.00419689836351356</v>
      </c>
    </row>
    <row r="18" customFormat="false" ht="15" hidden="false" customHeight="true" outlineLevel="0" collapsed="false">
      <c r="A18" s="7" t="s">
        <v>73</v>
      </c>
      <c r="B18" s="7" t="n">
        <v>13</v>
      </c>
      <c r="C18" s="14" t="n">
        <v>402977</v>
      </c>
      <c r="D18" s="14" t="n">
        <v>403885</v>
      </c>
      <c r="E18" s="15" t="n">
        <f aca="false">D18/C18-1</f>
        <v>0.00225323033324476</v>
      </c>
      <c r="F18" s="16" t="n">
        <f aca="false">ABS(E18)</f>
        <v>0.00225323033324476</v>
      </c>
    </row>
    <row r="19" customFormat="false" ht="15" hidden="false" customHeight="true" outlineLevel="0" collapsed="false">
      <c r="A19" s="7" t="s">
        <v>74</v>
      </c>
      <c r="B19" s="7" t="n">
        <v>2</v>
      </c>
      <c r="C19" s="14" t="n">
        <v>96470</v>
      </c>
      <c r="D19" s="14" t="n">
        <v>96679</v>
      </c>
      <c r="E19" s="15" t="n">
        <f aca="false">D19/C19-1</f>
        <v>0.00216647662485747</v>
      </c>
      <c r="F19" s="16" t="n">
        <f aca="false">ABS(E19)</f>
        <v>0.00216647662485747</v>
      </c>
    </row>
    <row r="20" customFormat="false" ht="15" hidden="false" customHeight="true" outlineLevel="0" collapsed="false">
      <c r="A20" s="7" t="s">
        <v>75</v>
      </c>
      <c r="B20" s="7" t="n">
        <v>6</v>
      </c>
      <c r="C20" s="14" t="n">
        <v>96781</v>
      </c>
      <c r="D20" s="14" t="n">
        <v>97093</v>
      </c>
      <c r="E20" s="15" t="n">
        <f aca="false">D20/C20-1</f>
        <v>0.00322377326128054</v>
      </c>
      <c r="F20" s="16" t="n">
        <f aca="false">ABS(E20)</f>
        <v>0.00322377326128054</v>
      </c>
    </row>
    <row r="21" customFormat="false" ht="15" hidden="false" customHeight="true" outlineLevel="0" collapsed="false">
      <c r="A21" s="7" t="s">
        <v>76</v>
      </c>
      <c r="B21" s="7" t="n">
        <v>13</v>
      </c>
      <c r="C21" s="14" t="n">
        <v>540225</v>
      </c>
      <c r="D21" s="14" t="n">
        <v>546342</v>
      </c>
      <c r="E21" s="15" t="n">
        <f aca="false">D21/C21-1</f>
        <v>0.0113230598361793</v>
      </c>
      <c r="F21" s="16" t="n">
        <f aca="false">ABS(E21)</f>
        <v>0.0113230598361793</v>
      </c>
    </row>
    <row r="22" customFormat="false" ht="15" hidden="false" customHeight="true" outlineLevel="0" collapsed="false">
      <c r="A22" s="7" t="s">
        <v>77</v>
      </c>
      <c r="B22" s="7" t="n">
        <v>6</v>
      </c>
      <c r="C22" s="14" t="n">
        <v>135544</v>
      </c>
      <c r="D22" s="14" t="n">
        <v>137238</v>
      </c>
      <c r="E22" s="15" t="n">
        <f aca="false">D22/C22-1</f>
        <v>0.0124977866965708</v>
      </c>
      <c r="F22" s="16" t="n">
        <f aca="false">ABS(E22)</f>
        <v>0.0124977866965708</v>
      </c>
    </row>
    <row r="23" customFormat="false" ht="15" hidden="false" customHeight="true" outlineLevel="0" collapsed="false">
      <c r="A23" s="7" t="s">
        <v>78</v>
      </c>
      <c r="B23" s="7" t="n">
        <v>17</v>
      </c>
      <c r="C23" s="14" t="n">
        <v>940646</v>
      </c>
      <c r="D23" s="14" t="n">
        <v>952855</v>
      </c>
      <c r="E23" s="15" t="n">
        <f aca="false">D23/C23-1</f>
        <v>0.0129793780019263</v>
      </c>
      <c r="F23" s="16" t="n">
        <f aca="false">ABS(E23)</f>
        <v>0.0129793780019263</v>
      </c>
    </row>
    <row r="24" customFormat="false" ht="15" hidden="false" customHeight="true" outlineLevel="0" collapsed="false">
      <c r="A24" s="7" t="s">
        <v>79</v>
      </c>
      <c r="B24" s="7" t="n">
        <v>5</v>
      </c>
      <c r="C24" s="14" t="n">
        <v>1093909</v>
      </c>
      <c r="D24" s="14" t="n">
        <v>1109579</v>
      </c>
      <c r="E24" s="15" t="n">
        <f aca="false">D24/C24-1</f>
        <v>0.0143247747298907</v>
      </c>
      <c r="F24" s="16" t="n">
        <f aca="false">ABS(E24)</f>
        <v>0.0143247747298907</v>
      </c>
    </row>
    <row r="25" customFormat="false" ht="15" hidden="false" customHeight="true" outlineLevel="0" collapsed="false">
      <c r="A25" s="7" t="s">
        <v>80</v>
      </c>
      <c r="B25" s="7" t="n">
        <v>10</v>
      </c>
      <c r="C25" s="14" t="n">
        <v>362846</v>
      </c>
      <c r="D25" s="14" t="n">
        <v>367957</v>
      </c>
      <c r="E25" s="15" t="n">
        <f aca="false">D25/C25-1</f>
        <v>0.0140858656289444</v>
      </c>
      <c r="F25" s="16" t="n">
        <f aca="false">ABS(E25)</f>
        <v>0.0140858656289444</v>
      </c>
    </row>
    <row r="26" customFormat="false" ht="15" hidden="false" customHeight="true" outlineLevel="0" collapsed="false">
      <c r="A26" s="7" t="s">
        <v>81</v>
      </c>
      <c r="B26" s="7" t="n">
        <v>19</v>
      </c>
      <c r="C26" s="14" t="n">
        <v>162508</v>
      </c>
      <c r="D26" s="14" t="n">
        <v>165326</v>
      </c>
      <c r="E26" s="15" t="n">
        <f aca="false">D26/C26-1</f>
        <v>0.0173406847662885</v>
      </c>
      <c r="F26" s="16" t="n">
        <f aca="false">ABS(E26)</f>
        <v>0.0173406847662885</v>
      </c>
    </row>
    <row r="27" customFormat="false" ht="15" hidden="false" customHeight="true" outlineLevel="0" collapsed="false">
      <c r="A27" s="7" t="s">
        <v>82</v>
      </c>
      <c r="B27" s="7" t="n">
        <v>14</v>
      </c>
      <c r="C27" s="14" t="n">
        <v>402260</v>
      </c>
      <c r="D27" s="14" t="n">
        <v>409666</v>
      </c>
      <c r="E27" s="15" t="n">
        <f aca="false">D27/C27-1</f>
        <v>0.0184109779744444</v>
      </c>
      <c r="F27" s="16" t="n">
        <f aca="false">ABS(E27)</f>
        <v>0.0184109779744444</v>
      </c>
    </row>
    <row r="28" customFormat="false" ht="15" hidden="false" customHeight="true" outlineLevel="0" collapsed="false">
      <c r="A28" s="7" t="s">
        <v>83</v>
      </c>
      <c r="B28" s="7" t="n">
        <v>14</v>
      </c>
      <c r="C28" s="14" t="n">
        <v>278316</v>
      </c>
      <c r="D28" s="14" t="n">
        <v>287609</v>
      </c>
      <c r="E28" s="15" t="n">
        <f aca="false">D28/C28-1</f>
        <v>0.0333901033357766</v>
      </c>
      <c r="F28" s="16" t="n">
        <f aca="false">ABS(E28)</f>
        <v>0.0333901033357766</v>
      </c>
    </row>
    <row r="29" customFormat="false" ht="15" hidden="false" customHeight="true" outlineLevel="0" collapsed="false">
      <c r="A29" s="7" t="s">
        <v>84</v>
      </c>
      <c r="B29" s="7" t="n">
        <v>4</v>
      </c>
      <c r="C29" s="14" t="n">
        <v>211449</v>
      </c>
      <c r="D29" s="14" t="n">
        <v>218692</v>
      </c>
      <c r="E29" s="15" t="n">
        <f aca="false">D29/C29-1</f>
        <v>0.0342541227435458</v>
      </c>
      <c r="F29" s="16" t="n">
        <f aca="false">ABS(E29)</f>
        <v>0.0342541227435458</v>
      </c>
    </row>
    <row r="30" customFormat="false" ht="15" hidden="false" customHeight="true" outlineLevel="0" collapsed="false">
      <c r="A30" s="7" t="s">
        <v>85</v>
      </c>
      <c r="B30" s="7" t="n">
        <v>14</v>
      </c>
      <c r="C30" s="14" t="n">
        <v>218897</v>
      </c>
      <c r="D30" s="14" t="n">
        <v>226405</v>
      </c>
      <c r="E30" s="15" t="n">
        <f aca="false">D30/C30-1</f>
        <v>0.0342992366272721</v>
      </c>
      <c r="F30" s="16" t="n">
        <f aca="false">ABS(E30)</f>
        <v>0.0342992366272721</v>
      </c>
    </row>
    <row r="31" customFormat="false" ht="15" hidden="false" customHeight="true" outlineLevel="0" collapsed="false">
      <c r="A31" s="7" t="s">
        <v>86</v>
      </c>
      <c r="B31" s="7" t="n">
        <v>11</v>
      </c>
      <c r="C31" s="14" t="n">
        <v>2104264</v>
      </c>
      <c r="D31" s="14" t="n">
        <v>2188507</v>
      </c>
      <c r="E31" s="15" t="n">
        <f aca="false">D31/C31-1</f>
        <v>0.0400344253382656</v>
      </c>
      <c r="F31" s="16" t="n">
        <f aca="false">ABS(E31)</f>
        <v>0.0400344253382656</v>
      </c>
    </row>
    <row r="32" customFormat="false" ht="15" hidden="false" customHeight="true" outlineLevel="0" collapsed="false">
      <c r="A32" s="7" t="s">
        <v>87</v>
      </c>
      <c r="B32" s="7" t="n">
        <v>17</v>
      </c>
      <c r="C32" s="14" t="n">
        <v>1337096</v>
      </c>
      <c r="D32" s="14" t="n">
        <v>1390534</v>
      </c>
      <c r="E32" s="15" t="n">
        <f aca="false">D32/C32-1</f>
        <v>0.0399657167473391</v>
      </c>
      <c r="F32" s="16" t="n">
        <f aca="false">ABS(E32)</f>
        <v>0.0399657167473391</v>
      </c>
    </row>
    <row r="33" customFormat="false" ht="15" hidden="false" customHeight="true" outlineLevel="0" collapsed="false">
      <c r="A33" s="7" t="s">
        <v>88</v>
      </c>
      <c r="B33" s="7" t="n">
        <v>10</v>
      </c>
      <c r="C33" s="14" t="n">
        <v>972173</v>
      </c>
      <c r="D33" s="14" t="n">
        <v>1020558</v>
      </c>
      <c r="E33" s="15" t="n">
        <f aca="false">D33/C33-1</f>
        <v>0.0497699483528138</v>
      </c>
      <c r="F33" s="16" t="n">
        <f aca="false">ABS(E33)</f>
        <v>0.0497699483528138</v>
      </c>
    </row>
    <row r="34" customFormat="false" ht="15" hidden="false" customHeight="true" outlineLevel="0" collapsed="false">
      <c r="A34" s="7" t="s">
        <v>89</v>
      </c>
      <c r="B34" s="7" t="n">
        <v>14</v>
      </c>
      <c r="C34" s="14" t="n">
        <v>118080</v>
      </c>
      <c r="D34" s="14" t="n">
        <v>124282</v>
      </c>
      <c r="E34" s="15" t="n">
        <f aca="false">D34/C34-1</f>
        <v>0.0525237127371274</v>
      </c>
      <c r="F34" s="16" t="n">
        <f aca="false">ABS(E34)</f>
        <v>0.0525237127371274</v>
      </c>
    </row>
    <row r="35" customFormat="false" ht="15" hidden="false" customHeight="true" outlineLevel="0" collapsed="false">
      <c r="A35" s="7" t="s">
        <v>90</v>
      </c>
      <c r="B35" s="7" t="n">
        <v>6</v>
      </c>
      <c r="C35" s="14" t="n">
        <v>1742118</v>
      </c>
      <c r="D35" s="14" t="n">
        <v>1835838</v>
      </c>
      <c r="E35" s="15" t="n">
        <f aca="false">D35/C35-1</f>
        <v>0.0537965855355378</v>
      </c>
      <c r="F35" s="16" t="n">
        <f aca="false">ABS(E35)</f>
        <v>0.0537965855355378</v>
      </c>
    </row>
    <row r="36" customFormat="false" ht="15" hidden="false" customHeight="true" outlineLevel="0" collapsed="false">
      <c r="A36" s="7" t="s">
        <v>91</v>
      </c>
      <c r="B36" s="7" t="n">
        <v>8</v>
      </c>
      <c r="C36" s="14" t="n">
        <v>19271</v>
      </c>
      <c r="D36" s="14" t="n">
        <v>21477</v>
      </c>
      <c r="E36" s="15" t="n">
        <f aca="false">D36/C36-1</f>
        <v>0.114472523480878</v>
      </c>
      <c r="F36" s="16" t="n">
        <f aca="false">ABS(E36)</f>
        <v>0.114472523480878</v>
      </c>
    </row>
    <row r="37" customFormat="false" ht="15" hidden="false" customHeight="true" outlineLevel="0" collapsed="false">
      <c r="A37" s="7" t="s">
        <v>92</v>
      </c>
      <c r="B37" s="7" t="n">
        <v>1</v>
      </c>
      <c r="C37" s="14" t="n">
        <v>13951</v>
      </c>
      <c r="D37" s="14" t="n">
        <v>15952</v>
      </c>
      <c r="E37" s="15" t="n">
        <f aca="false">D37/C37-1</f>
        <v>0.143430578453158</v>
      </c>
      <c r="F37" s="16" t="n">
        <f aca="false">ABS(E37)</f>
        <v>0.143430578453158</v>
      </c>
    </row>
    <row r="38" customFormat="false" ht="15" hidden="false" customHeight="true" outlineLevel="0" collapsed="false">
      <c r="A38" s="7" t="s">
        <v>93</v>
      </c>
      <c r="B38" s="7" t="n">
        <v>8</v>
      </c>
      <c r="C38" s="14" t="n">
        <v>744631</v>
      </c>
      <c r="D38" s="14" t="n">
        <v>881268</v>
      </c>
      <c r="E38" s="15" t="n">
        <f aca="false">D38/C38-1</f>
        <v>0.183496255192169</v>
      </c>
      <c r="F38" s="16" t="n">
        <f aca="false">ABS(E38)</f>
        <v>0.183496255192169</v>
      </c>
    </row>
    <row r="40" customFormat="false" ht="15" hidden="false" customHeight="true" outlineLevel="0" collapsed="false">
      <c r="A40" s="4" t="s">
        <v>94</v>
      </c>
      <c r="E40" s="17" t="n">
        <f aca="false">MEDIAN(F2:F38)</f>
        <v>0.0334179729740555</v>
      </c>
    </row>
    <row r="41" customFormat="false" ht="15" hidden="false" customHeight="true" outlineLevel="0" collapsed="false">
      <c r="A41" s="6"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10"/>
    <col collapsed="false" customWidth="true" hidden="false" outlineLevel="0" max="4" min="4" style="1" width="24"/>
    <col collapsed="false" customWidth="true" hidden="false" outlineLevel="0" max="5" min="5" style="1" width="10"/>
    <col collapsed="false" customWidth="true" hidden="false" outlineLevel="0" max="6" min="6" style="1" width="15"/>
    <col collapsed="false" customWidth="true" hidden="false" outlineLevel="0" max="7" min="7" style="1" width="11"/>
  </cols>
  <sheetData>
    <row r="1" customFormat="false" ht="26.25" hidden="false" customHeight="true" outlineLevel="0" collapsed="false">
      <c r="A1" s="10" t="s">
        <v>96</v>
      </c>
      <c r="B1" s="10" t="s">
        <v>97</v>
      </c>
      <c r="C1" s="10" t="s">
        <v>98</v>
      </c>
      <c r="D1" s="10" t="s">
        <v>99</v>
      </c>
      <c r="E1" s="10" t="s">
        <v>100</v>
      </c>
      <c r="F1" s="10" t="s">
        <v>101</v>
      </c>
      <c r="G1" s="10" t="s">
        <v>4</v>
      </c>
    </row>
    <row r="2" customFormat="false" ht="15" hidden="false" customHeight="true" outlineLevel="0" collapsed="false">
      <c r="A2" s="7" t="s">
        <v>102</v>
      </c>
      <c r="B2" s="7" t="s">
        <v>3</v>
      </c>
      <c r="C2" s="7" t="s">
        <v>103</v>
      </c>
      <c r="D2" s="7" t="s">
        <v>104</v>
      </c>
      <c r="E2" s="7" t="n">
        <v>2009</v>
      </c>
      <c r="F2" s="7" t="n">
        <v>41619</v>
      </c>
      <c r="G2" s="7" t="s">
        <v>49</v>
      </c>
    </row>
    <row r="3" customFormat="false" ht="15" hidden="false" customHeight="true" outlineLevel="0" collapsed="false">
      <c r="A3" s="7" t="s">
        <v>105</v>
      </c>
      <c r="B3" s="7" t="s">
        <v>3</v>
      </c>
      <c r="C3" s="7" t="s">
        <v>103</v>
      </c>
      <c r="D3" s="7" t="s">
        <v>106</v>
      </c>
      <c r="E3" s="7" t="n">
        <v>2009</v>
      </c>
      <c r="F3" s="7" t="n">
        <v>13634</v>
      </c>
      <c r="G3" s="7" t="s">
        <v>5</v>
      </c>
    </row>
    <row r="4" customFormat="false" ht="15" hidden="false" customHeight="true" outlineLevel="0" collapsed="false">
      <c r="A4" s="7" t="s">
        <v>107</v>
      </c>
      <c r="B4" s="7" t="s">
        <v>3</v>
      </c>
      <c r="C4" s="7" t="s">
        <v>103</v>
      </c>
      <c r="D4" s="7" t="s">
        <v>104</v>
      </c>
      <c r="E4" s="7" t="n">
        <v>2011</v>
      </c>
      <c r="F4" s="7" t="n">
        <v>15261</v>
      </c>
      <c r="G4" s="7" t="s">
        <v>49</v>
      </c>
    </row>
    <row r="5" customFormat="false" ht="15" hidden="false" customHeight="true" outlineLevel="0" collapsed="false">
      <c r="A5" s="7" t="s">
        <v>108</v>
      </c>
      <c r="B5" s="7" t="s">
        <v>3</v>
      </c>
      <c r="C5" s="7" t="s">
        <v>103</v>
      </c>
      <c r="D5" s="7" t="s">
        <v>106</v>
      </c>
      <c r="E5" s="7" t="n">
        <v>2013</v>
      </c>
      <c r="F5" s="7" t="n">
        <v>20589</v>
      </c>
      <c r="G5" s="7" t="s">
        <v>5</v>
      </c>
    </row>
    <row r="6" customFormat="false" ht="15" hidden="false" customHeight="true" outlineLevel="0" collapsed="false">
      <c r="A6" s="7" t="s">
        <v>109</v>
      </c>
      <c r="B6" s="7" t="s">
        <v>3</v>
      </c>
      <c r="C6" s="7" t="s">
        <v>103</v>
      </c>
      <c r="D6" s="7" t="s">
        <v>106</v>
      </c>
      <c r="E6" s="7" t="n">
        <v>2013</v>
      </c>
      <c r="F6" s="7" t="n">
        <v>6687</v>
      </c>
      <c r="G6" s="7" t="s">
        <v>5</v>
      </c>
    </row>
    <row r="7" customFormat="false" ht="15" hidden="false" customHeight="true" outlineLevel="0" collapsed="false">
      <c r="A7" s="7" t="s">
        <v>110</v>
      </c>
      <c r="B7" s="7" t="s">
        <v>3</v>
      </c>
      <c r="C7" s="7" t="s">
        <v>103</v>
      </c>
      <c r="D7" s="7" t="s">
        <v>104</v>
      </c>
      <c r="E7" s="7" t="n">
        <v>2013</v>
      </c>
      <c r="F7" s="7" t="n">
        <v>9453</v>
      </c>
      <c r="G7" s="7" t="s">
        <v>49</v>
      </c>
    </row>
    <row r="8" customFormat="false" ht="15" hidden="false" customHeight="true" outlineLevel="0" collapsed="false">
      <c r="A8" s="7" t="s">
        <v>111</v>
      </c>
      <c r="B8" s="7" t="s">
        <v>3</v>
      </c>
      <c r="C8" s="7" t="s">
        <v>103</v>
      </c>
      <c r="D8" s="7" t="s">
        <v>106</v>
      </c>
      <c r="E8" s="7" t="n">
        <v>2013</v>
      </c>
      <c r="F8" s="7" t="n">
        <v>9987</v>
      </c>
      <c r="G8" s="7" t="s">
        <v>5</v>
      </c>
    </row>
    <row r="9" customFormat="false" ht="15" hidden="false" customHeight="true" outlineLevel="0" collapsed="false">
      <c r="A9" s="7" t="s">
        <v>112</v>
      </c>
      <c r="B9" s="7" t="s">
        <v>3</v>
      </c>
      <c r="C9" s="7" t="s">
        <v>103</v>
      </c>
      <c r="D9" s="7" t="s">
        <v>106</v>
      </c>
      <c r="E9" s="7" t="n">
        <v>2013</v>
      </c>
      <c r="F9" s="7" t="n">
        <v>9525</v>
      </c>
      <c r="G9" s="7" t="s">
        <v>5</v>
      </c>
    </row>
    <row r="10" customFormat="false" ht="15" hidden="false" customHeight="true" outlineLevel="0" collapsed="false">
      <c r="A10" s="7" t="s">
        <v>113</v>
      </c>
      <c r="B10" s="7" t="s">
        <v>3</v>
      </c>
      <c r="C10" s="7" t="s">
        <v>103</v>
      </c>
      <c r="D10" s="7" t="s">
        <v>104</v>
      </c>
      <c r="E10" s="7" t="n">
        <v>2014</v>
      </c>
      <c r="F10" s="7" t="n">
        <v>16520</v>
      </c>
      <c r="G10" s="7" t="s">
        <v>49</v>
      </c>
    </row>
    <row r="11" customFormat="false" ht="15" hidden="false" customHeight="true" outlineLevel="0" collapsed="false">
      <c r="A11" s="7" t="s">
        <v>114</v>
      </c>
      <c r="B11" s="7" t="s">
        <v>3</v>
      </c>
      <c r="C11" s="7" t="s">
        <v>103</v>
      </c>
      <c r="D11" s="7" t="s">
        <v>104</v>
      </c>
      <c r="E11" s="7"/>
      <c r="F11" s="7" t="n">
        <v>8912</v>
      </c>
      <c r="G11" s="7" t="s">
        <v>49</v>
      </c>
    </row>
    <row r="12" customFormat="false" ht="15" hidden="false" customHeight="true" outlineLevel="0" collapsed="false">
      <c r="A12" s="7" t="s">
        <v>115</v>
      </c>
      <c r="B12" s="7" t="s">
        <v>3</v>
      </c>
      <c r="C12" s="7" t="s">
        <v>103</v>
      </c>
      <c r="D12" s="7" t="s">
        <v>104</v>
      </c>
      <c r="E12" s="7"/>
      <c r="F12" s="7" t="n">
        <v>8948</v>
      </c>
      <c r="G12" s="7" t="s">
        <v>49</v>
      </c>
    </row>
    <row r="13" customFormat="false" ht="15" hidden="false" customHeight="true" outlineLevel="0" collapsed="false">
      <c r="A13" s="7" t="s">
        <v>116</v>
      </c>
      <c r="B13" s="7" t="s">
        <v>3</v>
      </c>
      <c r="C13" s="7" t="s">
        <v>103</v>
      </c>
      <c r="D13" s="7" t="s">
        <v>104</v>
      </c>
      <c r="E13" s="7"/>
      <c r="F13" s="7" t="n">
        <v>16950</v>
      </c>
      <c r="G13" s="7" t="s">
        <v>49</v>
      </c>
    </row>
    <row r="14" customFormat="false" ht="15" hidden="false" customHeight="true" outlineLevel="0" collapsed="false">
      <c r="A14" s="7" t="s">
        <v>117</v>
      </c>
      <c r="B14" s="7" t="s">
        <v>3</v>
      </c>
      <c r="C14" s="7" t="s">
        <v>103</v>
      </c>
      <c r="D14" s="7" t="s">
        <v>104</v>
      </c>
      <c r="E14" s="7"/>
      <c r="F14" s="7" t="n">
        <v>37209</v>
      </c>
      <c r="G14" s="7" t="s">
        <v>49</v>
      </c>
    </row>
    <row r="15" customFormat="false" ht="15" hidden="false" customHeight="true" outlineLevel="0" collapsed="false">
      <c r="A15" s="7" t="s">
        <v>118</v>
      </c>
      <c r="B15" s="7" t="s">
        <v>3</v>
      </c>
      <c r="C15" s="7" t="s">
        <v>103</v>
      </c>
      <c r="D15" s="7" t="s">
        <v>104</v>
      </c>
      <c r="E15" s="7"/>
      <c r="F15" s="7" t="n">
        <v>29707</v>
      </c>
      <c r="G15" s="7" t="s">
        <v>49</v>
      </c>
    </row>
    <row r="16" customFormat="false" ht="15" hidden="false" customHeight="true" outlineLevel="0" collapsed="false">
      <c r="A16" s="7" t="s">
        <v>119</v>
      </c>
      <c r="B16" s="7" t="s">
        <v>3</v>
      </c>
      <c r="C16" s="7" t="s">
        <v>103</v>
      </c>
      <c r="D16" s="7" t="s">
        <v>104</v>
      </c>
      <c r="E16" s="7"/>
      <c r="F16" s="7" t="n">
        <v>13564</v>
      </c>
      <c r="G16" s="7" t="s">
        <v>49</v>
      </c>
    </row>
    <row r="17" customFormat="false" ht="15" hidden="false" customHeight="true" outlineLevel="0" collapsed="false">
      <c r="A17" s="7" t="s">
        <v>120</v>
      </c>
      <c r="B17" s="7" t="s">
        <v>3</v>
      </c>
      <c r="C17" s="7" t="s">
        <v>103</v>
      </c>
      <c r="D17" s="7" t="s">
        <v>104</v>
      </c>
      <c r="E17" s="7"/>
      <c r="F17" s="7" t="n">
        <v>19262</v>
      </c>
      <c r="G17" s="7" t="s">
        <v>49</v>
      </c>
    </row>
    <row r="18" customFormat="false" ht="15" hidden="false" customHeight="true" outlineLevel="0" collapsed="false">
      <c r="A18" s="7" t="s">
        <v>121</v>
      </c>
      <c r="B18" s="7" t="s">
        <v>3</v>
      </c>
      <c r="C18" s="7" t="s">
        <v>103</v>
      </c>
      <c r="D18" s="7" t="s">
        <v>104</v>
      </c>
      <c r="E18" s="7"/>
      <c r="F18" s="7" t="n">
        <v>2788</v>
      </c>
      <c r="G18" s="7" t="s">
        <v>49</v>
      </c>
    </row>
    <row r="19" customFormat="false" ht="15" hidden="false" customHeight="true" outlineLevel="0" collapsed="false">
      <c r="A19" s="7" t="s">
        <v>122</v>
      </c>
      <c r="B19" s="7" t="s">
        <v>3</v>
      </c>
      <c r="C19" s="7" t="s">
        <v>103</v>
      </c>
      <c r="D19" s="7" t="s">
        <v>104</v>
      </c>
      <c r="E19" s="7"/>
      <c r="F19" s="7" t="n">
        <v>31595</v>
      </c>
      <c r="G19" s="7" t="s">
        <v>49</v>
      </c>
    </row>
    <row r="20" customFormat="false" ht="15" hidden="false" customHeight="true" outlineLevel="0" collapsed="false">
      <c r="A20" s="7" t="s">
        <v>123</v>
      </c>
      <c r="B20" s="7" t="s">
        <v>3</v>
      </c>
      <c r="C20" s="7" t="s">
        <v>103</v>
      </c>
      <c r="D20" s="7" t="s">
        <v>106</v>
      </c>
      <c r="E20" s="7"/>
      <c r="F20" s="7" t="n">
        <v>17644</v>
      </c>
      <c r="G20" s="7" t="s">
        <v>5</v>
      </c>
    </row>
    <row r="21" customFormat="false" ht="15" hidden="false" customHeight="true" outlineLevel="0" collapsed="false">
      <c r="A21" s="7" t="s">
        <v>124</v>
      </c>
      <c r="B21" s="7" t="s">
        <v>3</v>
      </c>
      <c r="C21" s="7" t="s">
        <v>103</v>
      </c>
      <c r="D21" s="7" t="s">
        <v>106</v>
      </c>
      <c r="E21" s="7"/>
      <c r="F21" s="7" t="n">
        <v>16516</v>
      </c>
      <c r="G21" s="7" t="s">
        <v>5</v>
      </c>
    </row>
    <row r="22" customFormat="false" ht="15" hidden="false" customHeight="true" outlineLevel="0" collapsed="false">
      <c r="A22" s="7" t="s">
        <v>125</v>
      </c>
      <c r="B22" s="7" t="s">
        <v>3</v>
      </c>
      <c r="C22" s="7" t="s">
        <v>103</v>
      </c>
      <c r="D22" s="7" t="s">
        <v>106</v>
      </c>
      <c r="E22" s="7"/>
      <c r="F22" s="7" t="n">
        <v>17722</v>
      </c>
      <c r="G22" s="7" t="s">
        <v>5</v>
      </c>
    </row>
    <row r="23" customFormat="false" ht="15" hidden="false" customHeight="true" outlineLevel="0" collapsed="false">
      <c r="A23" s="7" t="s">
        <v>126</v>
      </c>
      <c r="B23" s="7" t="s">
        <v>3</v>
      </c>
      <c r="C23" s="7" t="s">
        <v>103</v>
      </c>
      <c r="D23" s="7" t="s">
        <v>104</v>
      </c>
      <c r="E23" s="7"/>
      <c r="F23" s="7" t="n">
        <v>12814</v>
      </c>
      <c r="G23" s="7" t="s">
        <v>49</v>
      </c>
    </row>
    <row r="24" customFormat="false" ht="15" hidden="false" customHeight="true" outlineLevel="0" collapsed="false">
      <c r="A24" s="7" t="s">
        <v>127</v>
      </c>
      <c r="B24" s="7" t="s">
        <v>3</v>
      </c>
      <c r="C24" s="7" t="s">
        <v>103</v>
      </c>
      <c r="D24" s="7" t="s">
        <v>104</v>
      </c>
      <c r="E24" s="7"/>
      <c r="F24" s="7" t="n">
        <v>24655</v>
      </c>
      <c r="G24" s="7" t="s">
        <v>49</v>
      </c>
    </row>
    <row r="25" customFormat="false" ht="15" hidden="false" customHeight="true" outlineLevel="0" collapsed="false">
      <c r="A25" s="7" t="s">
        <v>128</v>
      </c>
      <c r="B25" s="7" t="s">
        <v>25</v>
      </c>
      <c r="C25" s="7" t="s">
        <v>103</v>
      </c>
      <c r="D25" s="7" t="s">
        <v>129</v>
      </c>
      <c r="E25" s="7" t="n">
        <v>2024</v>
      </c>
      <c r="F25" s="7" t="n">
        <v>9540</v>
      </c>
      <c r="G25" s="7" t="s">
        <v>5</v>
      </c>
    </row>
    <row r="26" customFormat="false" ht="15" hidden="false" customHeight="true" outlineLevel="0" collapsed="false">
      <c r="A26" s="7" t="s">
        <v>130</v>
      </c>
      <c r="B26" s="7" t="s">
        <v>25</v>
      </c>
      <c r="C26" s="7" t="s">
        <v>103</v>
      </c>
      <c r="D26" s="7" t="s">
        <v>129</v>
      </c>
      <c r="E26" s="7" t="n">
        <v>2024</v>
      </c>
      <c r="F26" s="7" t="n">
        <v>5692</v>
      </c>
      <c r="G26" s="7" t="s">
        <v>5</v>
      </c>
    </row>
    <row r="27" customFormat="false" ht="15" hidden="false" customHeight="true" outlineLevel="0" collapsed="false">
      <c r="A27" s="7" t="s">
        <v>131</v>
      </c>
      <c r="B27" s="7" t="s">
        <v>25</v>
      </c>
      <c r="C27" s="7" t="s">
        <v>103</v>
      </c>
      <c r="D27" s="7" t="s">
        <v>129</v>
      </c>
      <c r="E27" s="7" t="n">
        <v>2024</v>
      </c>
      <c r="F27" s="7" t="n">
        <v>7414</v>
      </c>
      <c r="G27" s="7" t="s">
        <v>5</v>
      </c>
    </row>
    <row r="28" customFormat="false" ht="15" hidden="false" customHeight="true" outlineLevel="0" collapsed="false">
      <c r="A28" s="7" t="s">
        <v>132</v>
      </c>
      <c r="B28" s="7" t="s">
        <v>25</v>
      </c>
      <c r="C28" s="7" t="s">
        <v>103</v>
      </c>
      <c r="D28" s="7" t="s">
        <v>129</v>
      </c>
      <c r="E28" s="7" t="n">
        <v>2024</v>
      </c>
      <c r="F28" s="7" t="n">
        <v>5948</v>
      </c>
      <c r="G28" s="7" t="s">
        <v>5</v>
      </c>
    </row>
    <row r="29" customFormat="false" ht="15" hidden="false" customHeight="true" outlineLevel="0" collapsed="false">
      <c r="A29" s="7" t="s">
        <v>133</v>
      </c>
      <c r="B29" s="7" t="s">
        <v>27</v>
      </c>
      <c r="C29" s="7" t="s">
        <v>103</v>
      </c>
      <c r="D29" s="7" t="s">
        <v>134</v>
      </c>
      <c r="E29" s="7" t="n">
        <v>2024</v>
      </c>
      <c r="F29" s="7" t="n">
        <v>8987</v>
      </c>
      <c r="G29" s="7" t="s">
        <v>5</v>
      </c>
    </row>
    <row r="30" customFormat="false" ht="15" hidden="false" customHeight="true" outlineLevel="0" collapsed="false">
      <c r="A30" s="7" t="s">
        <v>135</v>
      </c>
      <c r="B30" s="7" t="s">
        <v>27</v>
      </c>
      <c r="C30" s="7" t="s">
        <v>103</v>
      </c>
      <c r="D30" s="7" t="s">
        <v>134</v>
      </c>
      <c r="E30" s="7" t="n">
        <v>2024</v>
      </c>
      <c r="F30" s="7" t="n">
        <v>6116</v>
      </c>
      <c r="G30" s="7" t="s">
        <v>5</v>
      </c>
    </row>
    <row r="31" customFormat="false" ht="15" hidden="false" customHeight="true" outlineLevel="0" collapsed="false">
      <c r="A31" s="7" t="s">
        <v>136</v>
      </c>
      <c r="B31" s="7" t="s">
        <v>27</v>
      </c>
      <c r="C31" s="7" t="s">
        <v>103</v>
      </c>
      <c r="D31" s="7" t="s">
        <v>134</v>
      </c>
      <c r="E31" s="7" t="n">
        <v>2024</v>
      </c>
      <c r="F31" s="7" t="n">
        <v>8049</v>
      </c>
      <c r="G31" s="7" t="s">
        <v>5</v>
      </c>
    </row>
    <row r="32" customFormat="false" ht="15" hidden="false" customHeight="true" outlineLevel="0" collapsed="false">
      <c r="A32" s="7" t="s">
        <v>137</v>
      </c>
      <c r="B32" s="7" t="s">
        <v>27</v>
      </c>
      <c r="C32" s="7" t="s">
        <v>103</v>
      </c>
      <c r="D32" s="7" t="s">
        <v>134</v>
      </c>
      <c r="E32" s="7" t="n">
        <v>2024</v>
      </c>
      <c r="F32" s="7" t="n">
        <v>4375</v>
      </c>
      <c r="G32" s="7" t="s">
        <v>5</v>
      </c>
    </row>
    <row r="33" customFormat="false" ht="15" hidden="false" customHeight="true" outlineLevel="0" collapsed="false">
      <c r="A33" s="7" t="s">
        <v>138</v>
      </c>
      <c r="B33" s="7" t="s">
        <v>27</v>
      </c>
      <c r="C33" s="7" t="s">
        <v>103</v>
      </c>
      <c r="D33" s="7" t="s">
        <v>134</v>
      </c>
      <c r="E33" s="7" t="n">
        <v>2024</v>
      </c>
      <c r="F33" s="7" t="n">
        <v>8272</v>
      </c>
      <c r="G33" s="7" t="s">
        <v>5</v>
      </c>
    </row>
    <row r="34" customFormat="false" ht="15" hidden="false" customHeight="true" outlineLevel="0" collapsed="false">
      <c r="A34" s="7" t="s">
        <v>139</v>
      </c>
      <c r="B34" s="7" t="s">
        <v>27</v>
      </c>
      <c r="C34" s="7" t="s">
        <v>103</v>
      </c>
      <c r="D34" s="7" t="s">
        <v>134</v>
      </c>
      <c r="E34" s="7" t="n">
        <v>2024</v>
      </c>
      <c r="F34" s="7" t="n">
        <v>4305</v>
      </c>
      <c r="G34" s="7" t="s">
        <v>5</v>
      </c>
    </row>
    <row r="35" customFormat="false" ht="15" hidden="false" customHeight="true" outlineLevel="0" collapsed="false">
      <c r="A35" s="7" t="s">
        <v>140</v>
      </c>
      <c r="B35" s="7" t="s">
        <v>27</v>
      </c>
      <c r="C35" s="7" t="s">
        <v>103</v>
      </c>
      <c r="D35" s="7" t="s">
        <v>134</v>
      </c>
      <c r="E35" s="7" t="n">
        <v>2024</v>
      </c>
      <c r="F35" s="7" t="n">
        <v>9524</v>
      </c>
      <c r="G35" s="7" t="s">
        <v>5</v>
      </c>
    </row>
    <row r="36" customFormat="false" ht="15" hidden="false" customHeight="true" outlineLevel="0" collapsed="false">
      <c r="A36" s="7" t="s">
        <v>141</v>
      </c>
      <c r="B36" s="7" t="s">
        <v>27</v>
      </c>
      <c r="C36" s="7" t="s">
        <v>103</v>
      </c>
      <c r="D36" s="7" t="s">
        <v>134</v>
      </c>
      <c r="E36" s="7" t="n">
        <v>2024</v>
      </c>
      <c r="F36" s="7" t="n">
        <v>2607</v>
      </c>
      <c r="G36" s="7" t="s">
        <v>5</v>
      </c>
    </row>
    <row r="37" customFormat="false" ht="15" hidden="false" customHeight="true" outlineLevel="0" collapsed="false">
      <c r="A37" s="7" t="s">
        <v>142</v>
      </c>
      <c r="B37" s="7" t="s">
        <v>27</v>
      </c>
      <c r="C37" s="7" t="s">
        <v>103</v>
      </c>
      <c r="D37" s="7" t="s">
        <v>134</v>
      </c>
      <c r="E37" s="7" t="n">
        <v>2024</v>
      </c>
      <c r="F37" s="7" t="n">
        <v>9239</v>
      </c>
      <c r="G37" s="7" t="s">
        <v>5</v>
      </c>
    </row>
    <row r="38" customFormat="false" ht="15" hidden="false" customHeight="true" outlineLevel="0" collapsed="false">
      <c r="A38" s="7" t="s">
        <v>143</v>
      </c>
      <c r="B38" s="7" t="s">
        <v>27</v>
      </c>
      <c r="C38" s="7" t="s">
        <v>103</v>
      </c>
      <c r="D38" s="7" t="s">
        <v>134</v>
      </c>
      <c r="E38" s="7" t="n">
        <v>2024</v>
      </c>
      <c r="F38" s="7" t="n">
        <v>8122</v>
      </c>
      <c r="G38" s="7" t="s">
        <v>5</v>
      </c>
    </row>
    <row r="39" customFormat="false" ht="15" hidden="false" customHeight="true" outlineLevel="0" collapsed="false">
      <c r="A39" s="7" t="s">
        <v>144</v>
      </c>
      <c r="B39" s="7" t="s">
        <v>29</v>
      </c>
      <c r="C39" s="7" t="s">
        <v>103</v>
      </c>
      <c r="D39" s="7" t="s">
        <v>145</v>
      </c>
      <c r="E39" s="7" t="n">
        <v>2024</v>
      </c>
      <c r="F39" s="7" t="n">
        <v>8557</v>
      </c>
      <c r="G39" s="7" t="s">
        <v>5</v>
      </c>
    </row>
    <row r="40" customFormat="false" ht="15" hidden="false" customHeight="true" outlineLevel="0" collapsed="false">
      <c r="A40" s="7" t="s">
        <v>146</v>
      </c>
      <c r="B40" s="7" t="s">
        <v>29</v>
      </c>
      <c r="C40" s="7" t="s">
        <v>103</v>
      </c>
      <c r="D40" s="7" t="s">
        <v>145</v>
      </c>
      <c r="E40" s="7" t="n">
        <v>2024</v>
      </c>
      <c r="F40" s="7" t="n">
        <v>14669</v>
      </c>
      <c r="G40" s="7" t="s">
        <v>5</v>
      </c>
    </row>
    <row r="41" customFormat="false" ht="15" hidden="false" customHeight="true" outlineLevel="0" collapsed="false">
      <c r="A41" s="7" t="s">
        <v>147</v>
      </c>
      <c r="B41" s="7" t="s">
        <v>29</v>
      </c>
      <c r="C41" s="7" t="s">
        <v>103</v>
      </c>
      <c r="D41" s="7" t="s">
        <v>145</v>
      </c>
      <c r="E41" s="7" t="n">
        <v>2024</v>
      </c>
      <c r="F41" s="7" t="n">
        <v>7370</v>
      </c>
      <c r="G41" s="7" t="s">
        <v>5</v>
      </c>
    </row>
    <row r="42" customFormat="false" ht="15" hidden="false" customHeight="true" outlineLevel="0" collapsed="false">
      <c r="A42" s="7" t="s">
        <v>148</v>
      </c>
      <c r="B42" s="7" t="s">
        <v>29</v>
      </c>
      <c r="C42" s="7" t="s">
        <v>149</v>
      </c>
      <c r="D42" s="7" t="s">
        <v>150</v>
      </c>
      <c r="E42" s="7" t="n">
        <v>2023</v>
      </c>
      <c r="F42" s="7" t="n">
        <v>4128</v>
      </c>
      <c r="G42" s="7" t="s">
        <v>5</v>
      </c>
    </row>
    <row r="43" customFormat="false" ht="15" hidden="false" customHeight="true" outlineLevel="0" collapsed="false">
      <c r="A43" s="7" t="s">
        <v>151</v>
      </c>
      <c r="B43" s="7" t="s">
        <v>29</v>
      </c>
      <c r="C43" s="7" t="s">
        <v>149</v>
      </c>
      <c r="D43" s="7" t="s">
        <v>150</v>
      </c>
      <c r="E43" s="7" t="n">
        <v>2023</v>
      </c>
      <c r="F43" s="7" t="n">
        <v>14501</v>
      </c>
      <c r="G43" s="7" t="s">
        <v>5</v>
      </c>
    </row>
    <row r="44" customFormat="false" ht="15" hidden="false" customHeight="true" outlineLevel="0" collapsed="false">
      <c r="A44" s="7" t="s">
        <v>152</v>
      </c>
      <c r="B44" s="7" t="s">
        <v>29</v>
      </c>
      <c r="C44" s="7" t="s">
        <v>149</v>
      </c>
      <c r="D44" s="7" t="s">
        <v>150</v>
      </c>
      <c r="E44" s="7" t="n">
        <v>2023</v>
      </c>
      <c r="F44" s="7" t="n">
        <v>14724</v>
      </c>
      <c r="G44" s="7" t="s">
        <v>5</v>
      </c>
    </row>
    <row r="45" customFormat="false" ht="15" hidden="false" customHeight="true" outlineLevel="0" collapsed="false">
      <c r="A45" s="7" t="s">
        <v>153</v>
      </c>
      <c r="B45" s="7" t="s">
        <v>30</v>
      </c>
      <c r="C45" s="7" t="s">
        <v>103</v>
      </c>
      <c r="D45" s="7" t="s">
        <v>154</v>
      </c>
      <c r="E45" s="7" t="n">
        <v>2009</v>
      </c>
      <c r="F45" s="7" t="n">
        <v>7570</v>
      </c>
      <c r="G45" s="7" t="s">
        <v>49</v>
      </c>
    </row>
    <row r="46" customFormat="false" ht="15" hidden="false" customHeight="true" outlineLevel="0" collapsed="false">
      <c r="A46" s="7" t="s">
        <v>155</v>
      </c>
      <c r="B46" s="7" t="s">
        <v>30</v>
      </c>
      <c r="C46" s="7" t="s">
        <v>103</v>
      </c>
      <c r="D46" s="7" t="s">
        <v>154</v>
      </c>
      <c r="E46" s="7" t="n">
        <v>2010</v>
      </c>
      <c r="F46" s="7" t="n">
        <v>1729</v>
      </c>
      <c r="G46" s="7" t="s">
        <v>49</v>
      </c>
    </row>
    <row r="47" customFormat="false" ht="15" hidden="false" customHeight="true" outlineLevel="0" collapsed="false">
      <c r="A47" s="7" t="s">
        <v>156</v>
      </c>
      <c r="B47" s="7" t="s">
        <v>30</v>
      </c>
      <c r="C47" s="7" t="s">
        <v>103</v>
      </c>
      <c r="D47" s="7" t="s">
        <v>154</v>
      </c>
      <c r="E47" s="7" t="n">
        <v>2010</v>
      </c>
      <c r="F47" s="7" t="n">
        <v>6068</v>
      </c>
      <c r="G47" s="7" t="s">
        <v>49</v>
      </c>
    </row>
    <row r="48" customFormat="false" ht="15" hidden="false" customHeight="true" outlineLevel="0" collapsed="false">
      <c r="A48" s="7" t="s">
        <v>157</v>
      </c>
      <c r="B48" s="7" t="s">
        <v>30</v>
      </c>
      <c r="C48" s="7" t="s">
        <v>103</v>
      </c>
      <c r="D48" s="7" t="s">
        <v>154</v>
      </c>
      <c r="E48" s="7" t="n">
        <v>2010</v>
      </c>
      <c r="F48" s="7" t="n">
        <v>6068</v>
      </c>
      <c r="G48" s="7" t="s">
        <v>49</v>
      </c>
    </row>
    <row r="49" customFormat="false" ht="15" hidden="false" customHeight="true" outlineLevel="0" collapsed="false">
      <c r="A49" s="7" t="s">
        <v>158</v>
      </c>
      <c r="B49" s="7" t="s">
        <v>30</v>
      </c>
      <c r="C49" s="7" t="s">
        <v>103</v>
      </c>
      <c r="D49" s="7" t="s">
        <v>154</v>
      </c>
      <c r="E49" s="7" t="n">
        <v>2010</v>
      </c>
      <c r="F49" s="7" t="n">
        <v>6068</v>
      </c>
      <c r="G49" s="7" t="s">
        <v>49</v>
      </c>
    </row>
    <row r="50" customFormat="false" ht="15" hidden="false" customHeight="true" outlineLevel="0" collapsed="false">
      <c r="A50" s="7" t="s">
        <v>159</v>
      </c>
      <c r="B50" s="7" t="s">
        <v>30</v>
      </c>
      <c r="C50" s="7" t="s">
        <v>149</v>
      </c>
      <c r="D50" s="7" t="s">
        <v>154</v>
      </c>
      <c r="E50" s="7" t="n">
        <v>2010</v>
      </c>
      <c r="F50" s="7" t="n">
        <v>9321</v>
      </c>
      <c r="G50" s="7" t="s">
        <v>5</v>
      </c>
    </row>
    <row r="51" customFormat="false" ht="15" hidden="false" customHeight="true" outlineLevel="0" collapsed="false">
      <c r="A51" s="7" t="s">
        <v>160</v>
      </c>
      <c r="B51" s="7" t="s">
        <v>30</v>
      </c>
      <c r="C51" s="7" t="s">
        <v>149</v>
      </c>
      <c r="D51" s="7" t="s">
        <v>154</v>
      </c>
      <c r="E51" s="7" t="n">
        <v>2010</v>
      </c>
      <c r="F51" s="7"/>
      <c r="G51" s="7" t="s">
        <v>5</v>
      </c>
    </row>
    <row r="52" customFormat="false" ht="15" hidden="false" customHeight="true" outlineLevel="0" collapsed="false">
      <c r="A52" s="7" t="s">
        <v>161</v>
      </c>
      <c r="B52" s="7" t="s">
        <v>30</v>
      </c>
      <c r="C52" s="7" t="s">
        <v>103</v>
      </c>
      <c r="D52" s="7" t="s">
        <v>154</v>
      </c>
      <c r="E52" s="7" t="n">
        <v>2011</v>
      </c>
      <c r="F52" s="7" t="n">
        <v>12274</v>
      </c>
      <c r="G52" s="7" t="s">
        <v>162</v>
      </c>
    </row>
    <row r="53" customFormat="false" ht="15" hidden="false" customHeight="true" outlineLevel="0" collapsed="false">
      <c r="A53" s="7" t="s">
        <v>163</v>
      </c>
      <c r="B53" s="7" t="s">
        <v>30</v>
      </c>
      <c r="C53" s="7" t="s">
        <v>103</v>
      </c>
      <c r="D53" s="7" t="s">
        <v>154</v>
      </c>
      <c r="E53" s="7" t="n">
        <v>2011</v>
      </c>
      <c r="F53" s="7" t="n">
        <v>9485</v>
      </c>
      <c r="G53" s="7" t="s">
        <v>49</v>
      </c>
    </row>
    <row r="54" customFormat="false" ht="15" hidden="false" customHeight="true" outlineLevel="0" collapsed="false">
      <c r="A54" s="7" t="s">
        <v>164</v>
      </c>
      <c r="B54" s="7" t="s">
        <v>30</v>
      </c>
      <c r="C54" s="7" t="s">
        <v>103</v>
      </c>
      <c r="D54" s="7" t="s">
        <v>154</v>
      </c>
      <c r="E54" s="7" t="n">
        <v>2011</v>
      </c>
      <c r="F54" s="7" t="n">
        <v>5637</v>
      </c>
      <c r="G54" s="7" t="s">
        <v>49</v>
      </c>
    </row>
    <row r="55" customFormat="false" ht="15" hidden="false" customHeight="true" outlineLevel="0" collapsed="false">
      <c r="A55" s="7" t="s">
        <v>165</v>
      </c>
      <c r="B55" s="7" t="s">
        <v>30</v>
      </c>
      <c r="C55" s="7" t="s">
        <v>149</v>
      </c>
      <c r="D55" s="7" t="s">
        <v>154</v>
      </c>
      <c r="E55" s="7" t="n">
        <v>2017</v>
      </c>
      <c r="F55" s="7" t="n">
        <v>16921</v>
      </c>
      <c r="G55" s="7" t="s">
        <v>5</v>
      </c>
    </row>
    <row r="56" customFormat="false" ht="15" hidden="false" customHeight="true" outlineLevel="0" collapsed="false">
      <c r="A56" s="7" t="s">
        <v>166</v>
      </c>
      <c r="B56" s="7" t="s">
        <v>30</v>
      </c>
      <c r="C56" s="7" t="s">
        <v>149</v>
      </c>
      <c r="D56" s="7" t="s">
        <v>154</v>
      </c>
      <c r="E56" s="7" t="n">
        <v>2017</v>
      </c>
      <c r="F56" s="7"/>
      <c r="G56" s="7" t="s">
        <v>5</v>
      </c>
    </row>
    <row r="57" customFormat="false" ht="15" hidden="false" customHeight="true" outlineLevel="0" collapsed="false">
      <c r="A57" s="7" t="s">
        <v>167</v>
      </c>
      <c r="B57" s="7" t="s">
        <v>30</v>
      </c>
      <c r="C57" s="7" t="s">
        <v>149</v>
      </c>
      <c r="D57" s="7" t="s">
        <v>154</v>
      </c>
      <c r="E57" s="7" t="n">
        <v>2018</v>
      </c>
      <c r="F57" s="7" t="n">
        <v>22432</v>
      </c>
      <c r="G57" s="7" t="s">
        <v>5</v>
      </c>
    </row>
    <row r="58" customFormat="false" ht="15" hidden="false" customHeight="true" outlineLevel="0" collapsed="false">
      <c r="A58" s="7" t="s">
        <v>168</v>
      </c>
      <c r="B58" s="7" t="s">
        <v>30</v>
      </c>
      <c r="C58" s="7" t="s">
        <v>149</v>
      </c>
      <c r="D58" s="7" t="s">
        <v>154</v>
      </c>
      <c r="E58" s="7" t="n">
        <v>2018</v>
      </c>
      <c r="F58" s="7" t="n">
        <v>25849</v>
      </c>
      <c r="G58" s="7" t="s">
        <v>5</v>
      </c>
    </row>
    <row r="59" customFormat="false" ht="15" hidden="false" customHeight="true" outlineLevel="0" collapsed="false">
      <c r="A59" s="7" t="s">
        <v>169</v>
      </c>
      <c r="B59" s="7" t="s">
        <v>31</v>
      </c>
      <c r="C59" s="7" t="s">
        <v>103</v>
      </c>
      <c r="D59" s="7" t="s">
        <v>170</v>
      </c>
      <c r="E59" s="7" t="n">
        <v>2009</v>
      </c>
      <c r="F59" s="7" t="n">
        <v>45241</v>
      </c>
      <c r="G59" s="7" t="s">
        <v>49</v>
      </c>
    </row>
    <row r="60" customFormat="false" ht="15" hidden="false" customHeight="true" outlineLevel="0" collapsed="false">
      <c r="A60" s="7" t="s">
        <v>171</v>
      </c>
      <c r="B60" s="7" t="s">
        <v>31</v>
      </c>
      <c r="C60" s="7" t="s">
        <v>103</v>
      </c>
      <c r="D60" s="7" t="s">
        <v>170</v>
      </c>
      <c r="E60" s="7" t="n">
        <v>2010</v>
      </c>
      <c r="F60" s="7" t="n">
        <v>6301</v>
      </c>
      <c r="G60" s="7" t="s">
        <v>49</v>
      </c>
    </row>
    <row r="61" customFormat="false" ht="15" hidden="false" customHeight="true" outlineLevel="0" collapsed="false">
      <c r="A61" s="7" t="s">
        <v>172</v>
      </c>
      <c r="B61" s="7" t="s">
        <v>31</v>
      </c>
      <c r="C61" s="7" t="s">
        <v>103</v>
      </c>
      <c r="D61" s="7" t="s">
        <v>173</v>
      </c>
      <c r="E61" s="7" t="n">
        <v>2010</v>
      </c>
      <c r="F61" s="7" t="n">
        <v>16502</v>
      </c>
      <c r="G61" s="7" t="s">
        <v>5</v>
      </c>
    </row>
    <row r="62" customFormat="false" ht="15" hidden="false" customHeight="true" outlineLevel="0" collapsed="false">
      <c r="A62" s="7" t="s">
        <v>174</v>
      </c>
      <c r="B62" s="7" t="s">
        <v>31</v>
      </c>
      <c r="C62" s="7" t="s">
        <v>103</v>
      </c>
      <c r="D62" s="7" t="s">
        <v>173</v>
      </c>
      <c r="E62" s="7" t="n">
        <v>2010</v>
      </c>
      <c r="F62" s="7" t="n">
        <v>14247</v>
      </c>
      <c r="G62" s="7" t="s">
        <v>5</v>
      </c>
    </row>
    <row r="63" customFormat="false" ht="15" hidden="false" customHeight="true" outlineLevel="0" collapsed="false">
      <c r="A63" s="7" t="s">
        <v>175</v>
      </c>
      <c r="B63" s="7" t="s">
        <v>31</v>
      </c>
      <c r="C63" s="7" t="s">
        <v>103</v>
      </c>
      <c r="D63" s="7" t="s">
        <v>173</v>
      </c>
      <c r="E63" s="7" t="n">
        <v>2013</v>
      </c>
      <c r="F63" s="7" t="n">
        <v>51951</v>
      </c>
      <c r="G63" s="7" t="s">
        <v>5</v>
      </c>
    </row>
    <row r="64" customFormat="false" ht="15" hidden="false" customHeight="true" outlineLevel="0" collapsed="false">
      <c r="A64" s="7" t="s">
        <v>176</v>
      </c>
      <c r="B64" s="7" t="s">
        <v>31</v>
      </c>
      <c r="C64" s="7" t="s">
        <v>103</v>
      </c>
      <c r="D64" s="7" t="s">
        <v>170</v>
      </c>
      <c r="E64" s="7" t="n">
        <v>2013</v>
      </c>
      <c r="F64" s="7" t="n">
        <v>24979</v>
      </c>
      <c r="G64" s="7" t="s">
        <v>49</v>
      </c>
    </row>
    <row r="65" customFormat="false" ht="15" hidden="false" customHeight="true" outlineLevel="0" collapsed="false">
      <c r="A65" s="7" t="s">
        <v>177</v>
      </c>
      <c r="B65" s="7" t="s">
        <v>31</v>
      </c>
      <c r="C65" s="7" t="s">
        <v>103</v>
      </c>
      <c r="D65" s="7" t="s">
        <v>170</v>
      </c>
      <c r="E65" s="7" t="n">
        <v>2015</v>
      </c>
      <c r="F65" s="7" t="n">
        <v>27554</v>
      </c>
      <c r="G65" s="7" t="s">
        <v>49</v>
      </c>
    </row>
    <row r="66" customFormat="false" ht="15" hidden="false" customHeight="true" outlineLevel="0" collapsed="false">
      <c r="A66" s="7" t="s">
        <v>178</v>
      </c>
      <c r="B66" s="7" t="s">
        <v>31</v>
      </c>
      <c r="C66" s="7" t="s">
        <v>103</v>
      </c>
      <c r="D66" s="7" t="s">
        <v>170</v>
      </c>
      <c r="E66" s="7" t="n">
        <v>2015</v>
      </c>
      <c r="F66" s="7" t="n">
        <v>33138</v>
      </c>
      <c r="G66" s="7" t="s">
        <v>49</v>
      </c>
    </row>
    <row r="67" customFormat="false" ht="15" hidden="false" customHeight="true" outlineLevel="0" collapsed="false">
      <c r="A67" s="7" t="s">
        <v>179</v>
      </c>
      <c r="B67" s="7" t="s">
        <v>31</v>
      </c>
      <c r="C67" s="7" t="s">
        <v>103</v>
      </c>
      <c r="D67" s="7" t="s">
        <v>170</v>
      </c>
      <c r="E67" s="7" t="n">
        <v>2015</v>
      </c>
      <c r="F67" s="7" t="n">
        <v>36627</v>
      </c>
      <c r="G67" s="7" t="s">
        <v>49</v>
      </c>
    </row>
    <row r="68" customFormat="false" ht="15" hidden="false" customHeight="true" outlineLevel="0" collapsed="false">
      <c r="A68" s="7" t="s">
        <v>180</v>
      </c>
      <c r="B68" s="7" t="s">
        <v>31</v>
      </c>
      <c r="C68" s="7" t="s">
        <v>103</v>
      </c>
      <c r="D68" s="7" t="s">
        <v>170</v>
      </c>
      <c r="E68" s="7" t="n">
        <v>2015</v>
      </c>
      <c r="F68" s="7" t="n">
        <v>29351</v>
      </c>
      <c r="G68" s="7" t="s">
        <v>49</v>
      </c>
    </row>
    <row r="69" customFormat="false" ht="15" hidden="false" customHeight="true" outlineLevel="0" collapsed="false">
      <c r="A69" s="7" t="s">
        <v>181</v>
      </c>
      <c r="B69" s="7" t="s">
        <v>31</v>
      </c>
      <c r="C69" s="7" t="s">
        <v>103</v>
      </c>
      <c r="D69" s="7" t="s">
        <v>170</v>
      </c>
      <c r="E69" s="7" t="n">
        <v>2015</v>
      </c>
      <c r="F69" s="7" t="n">
        <v>36683</v>
      </c>
      <c r="G69" s="7" t="s">
        <v>49</v>
      </c>
    </row>
    <row r="70" customFormat="false" ht="15" hidden="false" customHeight="true" outlineLevel="0" collapsed="false">
      <c r="A70" s="7" t="s">
        <v>182</v>
      </c>
      <c r="B70" s="7" t="s">
        <v>31</v>
      </c>
      <c r="C70" s="7" t="s">
        <v>103</v>
      </c>
      <c r="D70" s="7" t="s">
        <v>170</v>
      </c>
      <c r="E70" s="7" t="n">
        <v>2015</v>
      </c>
      <c r="F70" s="7" t="n">
        <v>39028</v>
      </c>
      <c r="G70" s="7" t="s">
        <v>49</v>
      </c>
    </row>
    <row r="71" customFormat="false" ht="15" hidden="false" customHeight="true" outlineLevel="0" collapsed="false">
      <c r="A71" s="7" t="s">
        <v>183</v>
      </c>
      <c r="B71" s="7" t="s">
        <v>32</v>
      </c>
      <c r="C71" s="7" t="s">
        <v>149</v>
      </c>
      <c r="D71" s="7" t="s">
        <v>184</v>
      </c>
      <c r="E71" s="7" t="n">
        <v>2017</v>
      </c>
      <c r="F71" s="7" t="n">
        <v>21886</v>
      </c>
      <c r="G71" s="7" t="s">
        <v>5</v>
      </c>
    </row>
    <row r="72" customFormat="false" ht="15" hidden="false" customHeight="true" outlineLevel="0" collapsed="false">
      <c r="A72" s="7" t="s">
        <v>185</v>
      </c>
      <c r="B72" s="7" t="s">
        <v>32</v>
      </c>
      <c r="C72" s="7" t="s">
        <v>149</v>
      </c>
      <c r="D72" s="7" t="s">
        <v>184</v>
      </c>
      <c r="E72" s="7" t="n">
        <v>2017</v>
      </c>
      <c r="F72" s="7" t="n">
        <v>32715</v>
      </c>
      <c r="G72" s="7" t="s">
        <v>5</v>
      </c>
    </row>
    <row r="73" customFormat="false" ht="15" hidden="false" customHeight="true" outlineLevel="0" collapsed="false">
      <c r="A73" s="7" t="s">
        <v>186</v>
      </c>
      <c r="B73" s="7" t="s">
        <v>32</v>
      </c>
      <c r="C73" s="7" t="s">
        <v>149</v>
      </c>
      <c r="D73" s="7" t="s">
        <v>184</v>
      </c>
      <c r="E73" s="7" t="n">
        <v>2017</v>
      </c>
      <c r="F73" s="7" t="n">
        <v>24327</v>
      </c>
      <c r="G73" s="7" t="s">
        <v>5</v>
      </c>
    </row>
    <row r="74" customFormat="false" ht="15" hidden="false" customHeight="true" outlineLevel="0" collapsed="false">
      <c r="A74" s="7" t="s">
        <v>187</v>
      </c>
      <c r="B74" s="7" t="s">
        <v>32</v>
      </c>
      <c r="C74" s="7" t="s">
        <v>149</v>
      </c>
      <c r="D74" s="7" t="s">
        <v>184</v>
      </c>
      <c r="E74" s="7" t="n">
        <v>2017</v>
      </c>
      <c r="F74" s="7" t="n">
        <v>16424</v>
      </c>
      <c r="G74" s="7" t="s">
        <v>5</v>
      </c>
    </row>
    <row r="75" customFormat="false" ht="15" hidden="false" customHeight="true" outlineLevel="0" collapsed="false">
      <c r="A75" s="7" t="s">
        <v>188</v>
      </c>
      <c r="B75" s="7" t="s">
        <v>32</v>
      </c>
      <c r="C75" s="7" t="s">
        <v>149</v>
      </c>
      <c r="D75" s="7" t="s">
        <v>189</v>
      </c>
      <c r="E75" s="7" t="n">
        <v>2017</v>
      </c>
      <c r="F75" s="7" t="n">
        <v>18309</v>
      </c>
      <c r="G75" s="7" t="s">
        <v>49</v>
      </c>
    </row>
    <row r="76" customFormat="false" ht="15" hidden="false" customHeight="true" outlineLevel="0" collapsed="false">
      <c r="A76" s="7" t="s">
        <v>190</v>
      </c>
      <c r="B76" s="7" t="s">
        <v>32</v>
      </c>
      <c r="C76" s="7" t="s">
        <v>149</v>
      </c>
      <c r="D76" s="7" t="s">
        <v>189</v>
      </c>
      <c r="E76" s="7" t="n">
        <v>2017</v>
      </c>
      <c r="F76" s="7" t="n">
        <v>15727</v>
      </c>
      <c r="G76" s="7" t="s">
        <v>49</v>
      </c>
    </row>
    <row r="77" customFormat="false" ht="15" hidden="false" customHeight="true" outlineLevel="0" collapsed="false">
      <c r="A77" s="7" t="s">
        <v>191</v>
      </c>
      <c r="B77" s="7" t="s">
        <v>32</v>
      </c>
      <c r="C77" s="7" t="s">
        <v>149</v>
      </c>
      <c r="D77" s="7" t="s">
        <v>189</v>
      </c>
      <c r="E77" s="7" t="n">
        <v>2017</v>
      </c>
      <c r="F77" s="7" t="n">
        <v>21677</v>
      </c>
      <c r="G77" s="7" t="s">
        <v>49</v>
      </c>
    </row>
    <row r="78" customFormat="false" ht="15" hidden="false" customHeight="true" outlineLevel="0" collapsed="false">
      <c r="A78" s="7" t="s">
        <v>192</v>
      </c>
      <c r="B78" s="7" t="s">
        <v>32</v>
      </c>
      <c r="C78" s="7" t="s">
        <v>149</v>
      </c>
      <c r="D78" s="7" t="s">
        <v>189</v>
      </c>
      <c r="E78" s="7" t="n">
        <v>2017</v>
      </c>
      <c r="F78" s="7" t="n">
        <v>20802</v>
      </c>
      <c r="G78" s="7" t="s">
        <v>49</v>
      </c>
    </row>
    <row r="79" customFormat="false" ht="15" hidden="false" customHeight="true" outlineLevel="0" collapsed="false">
      <c r="A79" s="7" t="s">
        <v>193</v>
      </c>
      <c r="B79" s="7" t="s">
        <v>32</v>
      </c>
      <c r="C79" s="7" t="s">
        <v>149</v>
      </c>
      <c r="D79" s="7" t="s">
        <v>184</v>
      </c>
      <c r="E79" s="7" t="n">
        <v>2018</v>
      </c>
      <c r="F79" s="7" t="n">
        <v>21855</v>
      </c>
      <c r="G79" s="7" t="s">
        <v>5</v>
      </c>
    </row>
    <row r="80" customFormat="false" ht="15" hidden="false" customHeight="true" outlineLevel="0" collapsed="false">
      <c r="A80" s="7" t="s">
        <v>194</v>
      </c>
      <c r="B80" s="7" t="s">
        <v>32</v>
      </c>
      <c r="C80" s="7" t="s">
        <v>149</v>
      </c>
      <c r="D80" s="7" t="s">
        <v>184</v>
      </c>
      <c r="E80" s="7" t="n">
        <v>2018</v>
      </c>
      <c r="F80" s="7" t="n">
        <v>30549</v>
      </c>
      <c r="G80" s="7" t="s">
        <v>5</v>
      </c>
    </row>
    <row r="81" customFormat="false" ht="15" hidden="false" customHeight="true" outlineLevel="0" collapsed="false">
      <c r="A81" s="7" t="s">
        <v>195</v>
      </c>
      <c r="B81" s="7" t="s">
        <v>32</v>
      </c>
      <c r="C81" s="7" t="s">
        <v>149</v>
      </c>
      <c r="D81" s="7" t="s">
        <v>184</v>
      </c>
      <c r="E81" s="7" t="n">
        <v>2018</v>
      </c>
      <c r="F81" s="7" t="n">
        <v>26694</v>
      </c>
      <c r="G81" s="7" t="s">
        <v>5</v>
      </c>
    </row>
    <row r="82" customFormat="false" ht="15" hidden="false" customHeight="true" outlineLevel="0" collapsed="false">
      <c r="A82" s="7" t="s">
        <v>196</v>
      </c>
      <c r="B82" s="7" t="s">
        <v>32</v>
      </c>
      <c r="C82" s="7" t="s">
        <v>149</v>
      </c>
      <c r="D82" s="7" t="s">
        <v>184</v>
      </c>
      <c r="E82" s="7" t="n">
        <v>2018</v>
      </c>
      <c r="F82" s="7" t="n">
        <v>29055</v>
      </c>
      <c r="G82" s="7" t="s">
        <v>5</v>
      </c>
    </row>
    <row r="83" customFormat="false" ht="15" hidden="false" customHeight="true" outlineLevel="0" collapsed="false">
      <c r="A83" s="7" t="s">
        <v>197</v>
      </c>
      <c r="B83" s="7" t="s">
        <v>32</v>
      </c>
      <c r="C83" s="7" t="s">
        <v>149</v>
      </c>
      <c r="D83" s="7" t="s">
        <v>184</v>
      </c>
      <c r="E83" s="7" t="n">
        <v>2018</v>
      </c>
      <c r="F83" s="7" t="n">
        <v>29055</v>
      </c>
      <c r="G83" s="7" t="s">
        <v>5</v>
      </c>
    </row>
    <row r="84" customFormat="false" ht="15" hidden="false" customHeight="true" outlineLevel="0" collapsed="false">
      <c r="A84" s="7" t="s">
        <v>198</v>
      </c>
      <c r="B84" s="7" t="s">
        <v>32</v>
      </c>
      <c r="C84" s="7" t="s">
        <v>149</v>
      </c>
      <c r="D84" s="7" t="s">
        <v>184</v>
      </c>
      <c r="E84" s="7" t="n">
        <v>2018</v>
      </c>
      <c r="F84" s="7" t="n">
        <v>15914</v>
      </c>
      <c r="G84" s="7" t="s">
        <v>5</v>
      </c>
    </row>
    <row r="85" customFormat="false" ht="15" hidden="false" customHeight="true" outlineLevel="0" collapsed="false">
      <c r="A85" s="7" t="s">
        <v>199</v>
      </c>
      <c r="B85" s="7" t="s">
        <v>32</v>
      </c>
      <c r="C85" s="7" t="s">
        <v>149</v>
      </c>
      <c r="D85" s="7" t="s">
        <v>184</v>
      </c>
      <c r="E85" s="7" t="n">
        <v>2018</v>
      </c>
      <c r="F85" s="7" t="n">
        <v>22910</v>
      </c>
      <c r="G85" s="7" t="s">
        <v>5</v>
      </c>
    </row>
    <row r="86" customFormat="false" ht="15" hidden="false" customHeight="true" outlineLevel="0" collapsed="false">
      <c r="A86" s="7" t="s">
        <v>200</v>
      </c>
      <c r="B86" s="7" t="s">
        <v>32</v>
      </c>
      <c r="C86" s="7" t="s">
        <v>149</v>
      </c>
      <c r="D86" s="7" t="s">
        <v>184</v>
      </c>
      <c r="E86" s="7" t="n">
        <v>2017</v>
      </c>
      <c r="F86" s="7" t="n">
        <v>17153</v>
      </c>
      <c r="G86" s="7" t="s">
        <v>5</v>
      </c>
    </row>
    <row r="87" customFormat="false" ht="15" hidden="false" customHeight="true" outlineLevel="0" collapsed="false">
      <c r="A87" s="7" t="s">
        <v>201</v>
      </c>
      <c r="B87" s="7" t="s">
        <v>32</v>
      </c>
      <c r="C87" s="7" t="s">
        <v>149</v>
      </c>
      <c r="D87" s="7" t="s">
        <v>184</v>
      </c>
      <c r="E87" s="7" t="n">
        <v>2017</v>
      </c>
      <c r="F87" s="7" t="n">
        <v>24665</v>
      </c>
      <c r="G87" s="7" t="s">
        <v>5</v>
      </c>
    </row>
    <row r="88" customFormat="false" ht="15" hidden="false" customHeight="true" outlineLevel="0" collapsed="false">
      <c r="A88" s="7" t="s">
        <v>202</v>
      </c>
      <c r="B88" s="7" t="s">
        <v>32</v>
      </c>
      <c r="C88" s="7" t="s">
        <v>149</v>
      </c>
      <c r="D88" s="7" t="s">
        <v>184</v>
      </c>
      <c r="E88" s="7" t="n">
        <v>2017</v>
      </c>
      <c r="F88" s="7" t="n">
        <v>24665</v>
      </c>
      <c r="G88" s="7" t="s">
        <v>5</v>
      </c>
    </row>
    <row r="89" customFormat="false" ht="15" hidden="false" customHeight="true" outlineLevel="0" collapsed="false">
      <c r="A89" s="7" t="s">
        <v>203</v>
      </c>
      <c r="B89" s="7" t="s">
        <v>32</v>
      </c>
      <c r="C89" s="7" t="s">
        <v>149</v>
      </c>
      <c r="D89" s="7" t="s">
        <v>184</v>
      </c>
      <c r="E89" s="7" t="n">
        <v>2018</v>
      </c>
      <c r="F89" s="7" t="n">
        <v>31275</v>
      </c>
      <c r="G89" s="7" t="s">
        <v>5</v>
      </c>
    </row>
    <row r="90" customFormat="false" ht="15" hidden="false" customHeight="true" outlineLevel="0" collapsed="false">
      <c r="A90" s="7" t="s">
        <v>204</v>
      </c>
      <c r="B90" s="7" t="s">
        <v>32</v>
      </c>
      <c r="C90" s="7" t="s">
        <v>149</v>
      </c>
      <c r="D90" s="7" t="s">
        <v>184</v>
      </c>
      <c r="E90" s="7" t="n">
        <v>2018</v>
      </c>
      <c r="F90" s="7" t="n">
        <v>17529</v>
      </c>
      <c r="G90" s="7" t="s">
        <v>5</v>
      </c>
    </row>
    <row r="91" customFormat="false" ht="15" hidden="false" customHeight="true" outlineLevel="0" collapsed="false">
      <c r="A91" s="7" t="s">
        <v>205</v>
      </c>
      <c r="B91" s="7" t="s">
        <v>32</v>
      </c>
      <c r="C91" s="7" t="s">
        <v>149</v>
      </c>
      <c r="D91" s="7" t="s">
        <v>184</v>
      </c>
      <c r="E91" s="7" t="n">
        <v>2018</v>
      </c>
      <c r="F91" s="7" t="n">
        <v>18039</v>
      </c>
      <c r="G91" s="7" t="s">
        <v>5</v>
      </c>
    </row>
    <row r="92" customFormat="false" ht="15" hidden="false" customHeight="true" outlineLevel="0" collapsed="false">
      <c r="A92" s="7" t="s">
        <v>206</v>
      </c>
      <c r="B92" s="7" t="s">
        <v>32</v>
      </c>
      <c r="C92" s="7" t="s">
        <v>149</v>
      </c>
      <c r="D92" s="7" t="s">
        <v>184</v>
      </c>
      <c r="E92" s="7" t="n">
        <v>2018</v>
      </c>
      <c r="F92" s="7" t="n">
        <v>23510</v>
      </c>
      <c r="G92" s="7" t="s">
        <v>5</v>
      </c>
    </row>
    <row r="93" customFormat="false" ht="15" hidden="false" customHeight="true" outlineLevel="0" collapsed="false">
      <c r="A93" s="7" t="s">
        <v>207</v>
      </c>
      <c r="B93" s="7" t="s">
        <v>32</v>
      </c>
      <c r="C93" s="7" t="s">
        <v>149</v>
      </c>
      <c r="D93" s="7" t="s">
        <v>184</v>
      </c>
      <c r="E93" s="7" t="n">
        <v>2018</v>
      </c>
      <c r="F93" s="7" t="n">
        <v>21776</v>
      </c>
      <c r="G93" s="7" t="s">
        <v>5</v>
      </c>
    </row>
    <row r="94" customFormat="false" ht="15" hidden="false" customHeight="true" outlineLevel="0" collapsed="false">
      <c r="A94" s="7" t="s">
        <v>208</v>
      </c>
      <c r="B94" s="7" t="s">
        <v>32</v>
      </c>
      <c r="C94" s="7" t="s">
        <v>149</v>
      </c>
      <c r="D94" s="7" t="s">
        <v>189</v>
      </c>
      <c r="E94" s="7" t="n">
        <v>2018</v>
      </c>
      <c r="F94" s="7" t="n">
        <v>17230</v>
      </c>
      <c r="G94" s="7" t="s">
        <v>49</v>
      </c>
    </row>
    <row r="95" customFormat="false" ht="15" hidden="false" customHeight="true" outlineLevel="0" collapsed="false">
      <c r="A95" s="7" t="s">
        <v>209</v>
      </c>
      <c r="B95" s="7" t="s">
        <v>32</v>
      </c>
      <c r="C95" s="7" t="s">
        <v>149</v>
      </c>
      <c r="D95" s="7" t="s">
        <v>189</v>
      </c>
      <c r="E95" s="7" t="n">
        <v>2018</v>
      </c>
      <c r="F95" s="7" t="n">
        <v>22347</v>
      </c>
      <c r="G95" s="7" t="s">
        <v>49</v>
      </c>
    </row>
    <row r="96" customFormat="false" ht="15" hidden="false" customHeight="true" outlineLevel="0" collapsed="false">
      <c r="A96" s="7" t="s">
        <v>210</v>
      </c>
      <c r="B96" s="7" t="s">
        <v>32</v>
      </c>
      <c r="C96" s="7" t="s">
        <v>149</v>
      </c>
      <c r="D96" s="7" t="s">
        <v>189</v>
      </c>
      <c r="E96" s="7" t="n">
        <v>2018</v>
      </c>
      <c r="F96" s="7" t="n">
        <v>23901</v>
      </c>
      <c r="G96" s="7" t="s">
        <v>49</v>
      </c>
    </row>
    <row r="97" customFormat="false" ht="15" hidden="false" customHeight="true" outlineLevel="0" collapsed="false">
      <c r="A97" s="7" t="s">
        <v>211</v>
      </c>
      <c r="B97" s="7" t="s">
        <v>32</v>
      </c>
      <c r="C97" s="7" t="s">
        <v>149</v>
      </c>
      <c r="D97" s="7" t="s">
        <v>189</v>
      </c>
      <c r="E97" s="7" t="n">
        <v>2018</v>
      </c>
      <c r="F97" s="7" t="n">
        <v>19621</v>
      </c>
      <c r="G97" s="7" t="s">
        <v>49</v>
      </c>
    </row>
    <row r="98" customFormat="false" ht="15" hidden="false" customHeight="true" outlineLevel="0" collapsed="false">
      <c r="A98" s="7" t="s">
        <v>212</v>
      </c>
      <c r="B98" s="7" t="s">
        <v>32</v>
      </c>
      <c r="C98" s="7" t="s">
        <v>149</v>
      </c>
      <c r="D98" s="7" t="s">
        <v>189</v>
      </c>
      <c r="E98" s="7" t="n">
        <v>2018</v>
      </c>
      <c r="F98" s="7" t="n">
        <v>20481</v>
      </c>
      <c r="G98" s="7" t="s">
        <v>49</v>
      </c>
    </row>
    <row r="99" customFormat="false" ht="15" hidden="false" customHeight="true" outlineLevel="0" collapsed="false">
      <c r="A99" s="7" t="s">
        <v>213</v>
      </c>
      <c r="B99" s="7" t="s">
        <v>32</v>
      </c>
      <c r="C99" s="7" t="s">
        <v>149</v>
      </c>
      <c r="D99" s="7" t="s">
        <v>189</v>
      </c>
      <c r="E99" s="7" t="n">
        <v>2018</v>
      </c>
      <c r="F99" s="7" t="n">
        <v>23435</v>
      </c>
      <c r="G99" s="7" t="s">
        <v>49</v>
      </c>
    </row>
    <row r="100" customFormat="false" ht="15" hidden="false" customHeight="true" outlineLevel="0" collapsed="false">
      <c r="A100" s="7" t="s">
        <v>214</v>
      </c>
      <c r="B100" s="7" t="s">
        <v>32</v>
      </c>
      <c r="C100" s="7" t="s">
        <v>149</v>
      </c>
      <c r="D100" s="7" t="s">
        <v>189</v>
      </c>
      <c r="E100" s="7" t="n">
        <v>2018</v>
      </c>
      <c r="F100" s="7" t="n">
        <v>27669</v>
      </c>
      <c r="G100" s="7" t="s">
        <v>49</v>
      </c>
    </row>
    <row r="101" customFormat="false" ht="15" hidden="false" customHeight="true" outlineLevel="0" collapsed="false">
      <c r="A101" s="7" t="s">
        <v>215</v>
      </c>
      <c r="B101" s="7" t="s">
        <v>32</v>
      </c>
      <c r="C101" s="7" t="s">
        <v>149</v>
      </c>
      <c r="D101" s="7" t="s">
        <v>189</v>
      </c>
      <c r="E101" s="7" t="n">
        <v>2018</v>
      </c>
      <c r="F101" s="7" t="n">
        <v>27669</v>
      </c>
      <c r="G101" s="7" t="s">
        <v>49</v>
      </c>
    </row>
    <row r="102" customFormat="false" ht="15" hidden="false" customHeight="true" outlineLevel="0" collapsed="false">
      <c r="A102" s="7" t="s">
        <v>216</v>
      </c>
      <c r="B102" s="7" t="s">
        <v>32</v>
      </c>
      <c r="C102" s="7" t="s">
        <v>149</v>
      </c>
      <c r="D102" s="7" t="s">
        <v>189</v>
      </c>
      <c r="E102" s="7" t="n">
        <v>2018</v>
      </c>
      <c r="F102" s="7" t="n">
        <v>20902</v>
      </c>
      <c r="G102" s="7" t="s">
        <v>49</v>
      </c>
    </row>
    <row r="103" customFormat="false" ht="15" hidden="false" customHeight="true" outlineLevel="0" collapsed="false">
      <c r="A103" s="7" t="s">
        <v>217</v>
      </c>
      <c r="B103" s="7" t="s">
        <v>32</v>
      </c>
      <c r="C103" s="7" t="s">
        <v>149</v>
      </c>
      <c r="D103" s="7" t="s">
        <v>184</v>
      </c>
      <c r="E103" s="7" t="n">
        <v>2018</v>
      </c>
      <c r="F103" s="7" t="n">
        <v>15300</v>
      </c>
      <c r="G103" s="7" t="s">
        <v>5</v>
      </c>
    </row>
    <row r="104" customFormat="false" ht="15" hidden="false" customHeight="true" outlineLevel="0" collapsed="false">
      <c r="A104" s="7" t="s">
        <v>218</v>
      </c>
      <c r="B104" s="7" t="s">
        <v>32</v>
      </c>
      <c r="C104" s="7" t="s">
        <v>149</v>
      </c>
      <c r="D104" s="7" t="s">
        <v>184</v>
      </c>
      <c r="E104" s="7" t="n">
        <v>2018</v>
      </c>
      <c r="F104" s="7" t="n">
        <v>21611</v>
      </c>
      <c r="G104" s="7" t="s">
        <v>5</v>
      </c>
    </row>
    <row r="105" customFormat="false" ht="15" hidden="false" customHeight="true" outlineLevel="0" collapsed="false">
      <c r="A105" s="7" t="s">
        <v>219</v>
      </c>
      <c r="B105" s="7" t="s">
        <v>32</v>
      </c>
      <c r="C105" s="7" t="s">
        <v>149</v>
      </c>
      <c r="D105" s="7" t="s">
        <v>184</v>
      </c>
      <c r="E105" s="7" t="n">
        <v>2018</v>
      </c>
      <c r="F105" s="7" t="n">
        <v>17983</v>
      </c>
      <c r="G105" s="7" t="s">
        <v>5</v>
      </c>
    </row>
    <row r="106" customFormat="false" ht="15" hidden="false" customHeight="true" outlineLevel="0" collapsed="false">
      <c r="A106" s="7" t="s">
        <v>220</v>
      </c>
      <c r="B106" s="7" t="s">
        <v>32</v>
      </c>
      <c r="C106" s="7" t="s">
        <v>149</v>
      </c>
      <c r="D106" s="7" t="s">
        <v>184</v>
      </c>
      <c r="E106" s="7" t="n">
        <v>2018</v>
      </c>
      <c r="F106" s="7" t="n">
        <v>9234</v>
      </c>
      <c r="G106" s="7" t="s">
        <v>5</v>
      </c>
    </row>
    <row r="107" customFormat="false" ht="15" hidden="false" customHeight="true" outlineLevel="0" collapsed="false">
      <c r="A107" s="7" t="s">
        <v>221</v>
      </c>
      <c r="B107" s="7" t="s">
        <v>32</v>
      </c>
      <c r="C107" s="7" t="s">
        <v>149</v>
      </c>
      <c r="D107" s="7" t="s">
        <v>184</v>
      </c>
      <c r="E107" s="7" t="n">
        <v>2018</v>
      </c>
      <c r="F107" s="7" t="n">
        <v>15985</v>
      </c>
      <c r="G107" s="7" t="s">
        <v>5</v>
      </c>
    </row>
    <row r="108" customFormat="false" ht="15" hidden="false" customHeight="true" outlineLevel="0" collapsed="false">
      <c r="A108" s="7" t="s">
        <v>222</v>
      </c>
      <c r="B108" s="7" t="s">
        <v>33</v>
      </c>
      <c r="C108" s="7" t="s">
        <v>149</v>
      </c>
      <c r="D108" s="7" t="s">
        <v>223</v>
      </c>
      <c r="E108" s="7" t="n">
        <v>2018</v>
      </c>
      <c r="F108" s="7" t="n">
        <v>35157</v>
      </c>
      <c r="G108" s="7" t="s">
        <v>5</v>
      </c>
    </row>
    <row r="109" customFormat="false" ht="15" hidden="false" customHeight="true" outlineLevel="0" collapsed="false">
      <c r="A109" s="7" t="s">
        <v>224</v>
      </c>
      <c r="B109" s="7" t="s">
        <v>33</v>
      </c>
      <c r="C109" s="7" t="s">
        <v>149</v>
      </c>
      <c r="D109" s="7" t="s">
        <v>223</v>
      </c>
      <c r="E109" s="7" t="n">
        <v>2018</v>
      </c>
      <c r="F109" s="7" t="n">
        <v>24383</v>
      </c>
      <c r="G109" s="7" t="s">
        <v>5</v>
      </c>
    </row>
    <row r="110" customFormat="false" ht="15" hidden="false" customHeight="true" outlineLevel="0" collapsed="false">
      <c r="A110" s="7" t="s">
        <v>225</v>
      </c>
      <c r="B110" s="7" t="s">
        <v>33</v>
      </c>
      <c r="C110" s="7" t="s">
        <v>149</v>
      </c>
      <c r="D110" s="7" t="s">
        <v>223</v>
      </c>
      <c r="E110" s="7" t="n">
        <v>2018</v>
      </c>
      <c r="F110" s="7" t="n">
        <v>21448</v>
      </c>
      <c r="G110" s="7" t="s">
        <v>5</v>
      </c>
    </row>
    <row r="111" customFormat="false" ht="15" hidden="false" customHeight="true" outlineLevel="0" collapsed="false">
      <c r="A111" s="7" t="s">
        <v>226</v>
      </c>
      <c r="B111" s="7" t="s">
        <v>34</v>
      </c>
      <c r="C111" s="7" t="s">
        <v>149</v>
      </c>
      <c r="D111" s="7" t="s">
        <v>227</v>
      </c>
      <c r="E111" s="7" t="n">
        <v>2017</v>
      </c>
      <c r="F111" s="7" t="n">
        <v>26072</v>
      </c>
      <c r="G111" s="7" t="s">
        <v>5</v>
      </c>
    </row>
    <row r="112" customFormat="false" ht="15" hidden="false" customHeight="true" outlineLevel="0" collapsed="false">
      <c r="A112" s="7" t="s">
        <v>228</v>
      </c>
      <c r="B112" s="7" t="s">
        <v>34</v>
      </c>
      <c r="C112" s="7" t="s">
        <v>149</v>
      </c>
      <c r="D112" s="7" t="s">
        <v>227</v>
      </c>
      <c r="E112" s="7" t="n">
        <v>2017</v>
      </c>
      <c r="F112" s="7" t="n">
        <v>34560</v>
      </c>
      <c r="G112" s="7" t="s">
        <v>5</v>
      </c>
    </row>
    <row r="113" customFormat="false" ht="15" hidden="false" customHeight="true" outlineLevel="0" collapsed="false">
      <c r="A113" s="7" t="s">
        <v>229</v>
      </c>
      <c r="B113" s="7" t="s">
        <v>34</v>
      </c>
      <c r="C113" s="7" t="s">
        <v>149</v>
      </c>
      <c r="D113" s="7" t="s">
        <v>230</v>
      </c>
      <c r="E113" s="7" t="n">
        <v>2017</v>
      </c>
      <c r="F113" s="7" t="n">
        <v>20724</v>
      </c>
      <c r="G113" s="7" t="s">
        <v>162</v>
      </c>
    </row>
    <row r="114" customFormat="false" ht="15" hidden="false" customHeight="true" outlineLevel="0" collapsed="false">
      <c r="A114" s="7" t="s">
        <v>231</v>
      </c>
      <c r="B114" s="7" t="s">
        <v>34</v>
      </c>
      <c r="C114" s="7" t="s">
        <v>149</v>
      </c>
      <c r="D114" s="7" t="s">
        <v>230</v>
      </c>
      <c r="E114" s="7" t="n">
        <v>2017</v>
      </c>
      <c r="F114" s="7" t="n">
        <v>22557</v>
      </c>
      <c r="G114" s="7" t="s">
        <v>49</v>
      </c>
    </row>
    <row r="115" customFormat="false" ht="15" hidden="false" customHeight="true" outlineLevel="0" collapsed="false">
      <c r="A115" s="7" t="s">
        <v>232</v>
      </c>
      <c r="B115" s="7" t="s">
        <v>34</v>
      </c>
      <c r="C115" s="7" t="s">
        <v>149</v>
      </c>
      <c r="D115" s="7" t="s">
        <v>230</v>
      </c>
      <c r="E115" s="7" t="n">
        <v>2017</v>
      </c>
      <c r="F115" s="7" t="n">
        <v>29934</v>
      </c>
      <c r="G115" s="7" t="s">
        <v>49</v>
      </c>
    </row>
    <row r="116" customFormat="false" ht="15" hidden="false" customHeight="true" outlineLevel="0" collapsed="false">
      <c r="A116" s="7" t="s">
        <v>233</v>
      </c>
      <c r="B116" s="7" t="s">
        <v>34</v>
      </c>
      <c r="C116" s="7" t="s">
        <v>149</v>
      </c>
      <c r="D116" s="7" t="s">
        <v>230</v>
      </c>
      <c r="E116" s="7" t="n">
        <v>2017</v>
      </c>
      <c r="F116" s="7" t="n">
        <v>27181</v>
      </c>
      <c r="G116" s="7" t="s">
        <v>49</v>
      </c>
    </row>
    <row r="117" customFormat="false" ht="15" hidden="false" customHeight="true" outlineLevel="0" collapsed="false">
      <c r="A117" s="7" t="s">
        <v>234</v>
      </c>
      <c r="B117" s="7" t="s">
        <v>34</v>
      </c>
      <c r="C117" s="7" t="s">
        <v>149</v>
      </c>
      <c r="D117" s="7" t="s">
        <v>227</v>
      </c>
      <c r="E117" s="7" t="n">
        <v>2018</v>
      </c>
      <c r="F117" s="7" t="n">
        <v>30531</v>
      </c>
      <c r="G117" s="7" t="s">
        <v>5</v>
      </c>
    </row>
    <row r="118" customFormat="false" ht="15" hidden="false" customHeight="true" outlineLevel="0" collapsed="false">
      <c r="A118" s="7" t="s">
        <v>235</v>
      </c>
      <c r="B118" s="7" t="s">
        <v>34</v>
      </c>
      <c r="C118" s="7" t="s">
        <v>149</v>
      </c>
      <c r="D118" s="7" t="s">
        <v>227</v>
      </c>
      <c r="E118" s="7" t="n">
        <v>2018</v>
      </c>
      <c r="F118" s="7" t="n">
        <v>17728</v>
      </c>
      <c r="G118" s="7" t="s">
        <v>5</v>
      </c>
    </row>
    <row r="119" customFormat="false" ht="15" hidden="false" customHeight="true" outlineLevel="0" collapsed="false">
      <c r="A119" s="7" t="s">
        <v>236</v>
      </c>
      <c r="B119" s="7" t="s">
        <v>34</v>
      </c>
      <c r="C119" s="7" t="s">
        <v>149</v>
      </c>
      <c r="D119" s="7" t="s">
        <v>230</v>
      </c>
      <c r="E119" s="7" t="n">
        <v>2018</v>
      </c>
      <c r="F119" s="7" t="n">
        <v>23491</v>
      </c>
      <c r="G119" s="7" t="s">
        <v>49</v>
      </c>
    </row>
    <row r="120" customFormat="false" ht="15" hidden="false" customHeight="true" outlineLevel="0" collapsed="false">
      <c r="A120" s="7" t="s">
        <v>237</v>
      </c>
      <c r="B120" s="7" t="s">
        <v>34</v>
      </c>
      <c r="C120" s="7" t="s">
        <v>149</v>
      </c>
      <c r="D120" s="7" t="s">
        <v>227</v>
      </c>
      <c r="E120" s="7" t="n">
        <v>2018</v>
      </c>
      <c r="F120" s="7" t="n">
        <v>30691</v>
      </c>
      <c r="G120" s="7" t="s">
        <v>5</v>
      </c>
    </row>
    <row r="121" customFormat="false" ht="15" hidden="false" customHeight="true" outlineLevel="0" collapsed="false">
      <c r="A121" s="7" t="s">
        <v>238</v>
      </c>
      <c r="B121" s="7" t="s">
        <v>34</v>
      </c>
      <c r="C121" s="7" t="s">
        <v>149</v>
      </c>
      <c r="D121" s="7" t="s">
        <v>230</v>
      </c>
      <c r="E121" s="7" t="n">
        <v>2018</v>
      </c>
      <c r="F121" s="7" t="n">
        <v>21215</v>
      </c>
      <c r="G121" s="7" t="s">
        <v>49</v>
      </c>
    </row>
    <row r="122" customFormat="false" ht="15" hidden="false" customHeight="true" outlineLevel="0" collapsed="false">
      <c r="A122" s="7" t="s">
        <v>239</v>
      </c>
      <c r="B122" s="7" t="s">
        <v>34</v>
      </c>
      <c r="C122" s="7" t="s">
        <v>149</v>
      </c>
      <c r="D122" s="7" t="s">
        <v>227</v>
      </c>
      <c r="E122" s="7" t="n">
        <v>2018</v>
      </c>
      <c r="F122" s="7" t="n">
        <v>27894</v>
      </c>
      <c r="G122" s="7" t="s">
        <v>5</v>
      </c>
    </row>
    <row r="123" customFormat="false" ht="15" hidden="false" customHeight="true" outlineLevel="0" collapsed="false">
      <c r="A123" s="7" t="s">
        <v>240</v>
      </c>
      <c r="B123" s="7" t="s">
        <v>34</v>
      </c>
      <c r="C123" s="7" t="s">
        <v>149</v>
      </c>
      <c r="D123" s="7" t="s">
        <v>227</v>
      </c>
      <c r="E123" s="7" t="n">
        <v>2018</v>
      </c>
      <c r="F123" s="7" t="n">
        <v>29038</v>
      </c>
      <c r="G123" s="7" t="s">
        <v>5</v>
      </c>
    </row>
    <row r="124" customFormat="false" ht="15" hidden="false" customHeight="true" outlineLevel="0" collapsed="false">
      <c r="A124" s="7" t="s">
        <v>241</v>
      </c>
      <c r="B124" s="7" t="s">
        <v>34</v>
      </c>
      <c r="C124" s="7" t="s">
        <v>149</v>
      </c>
      <c r="D124" s="7" t="s">
        <v>230</v>
      </c>
      <c r="E124" s="7" t="n">
        <v>2018</v>
      </c>
      <c r="F124" s="7" t="n">
        <v>33344</v>
      </c>
      <c r="G124" s="7" t="s">
        <v>49</v>
      </c>
    </row>
    <row r="125" customFormat="false" ht="15" hidden="false" customHeight="true" outlineLevel="0" collapsed="false">
      <c r="A125" s="7" t="s">
        <v>242</v>
      </c>
      <c r="B125" s="7" t="s">
        <v>34</v>
      </c>
      <c r="C125" s="7" t="s">
        <v>149</v>
      </c>
      <c r="D125" s="7" t="s">
        <v>227</v>
      </c>
      <c r="E125" s="7" t="n">
        <v>2018</v>
      </c>
      <c r="F125" s="7" t="n">
        <v>30207</v>
      </c>
      <c r="G125" s="7" t="s">
        <v>5</v>
      </c>
    </row>
    <row r="126" customFormat="false" ht="15" hidden="false" customHeight="true" outlineLevel="0" collapsed="false">
      <c r="A126" s="7" t="s">
        <v>243</v>
      </c>
      <c r="B126" s="7" t="s">
        <v>34</v>
      </c>
      <c r="C126" s="7" t="s">
        <v>149</v>
      </c>
      <c r="D126" s="7" t="s">
        <v>230</v>
      </c>
      <c r="E126" s="7" t="n">
        <v>2018</v>
      </c>
      <c r="F126" s="7" t="n">
        <v>25662</v>
      </c>
      <c r="G126" s="7" t="s">
        <v>49</v>
      </c>
    </row>
    <row r="127" customFormat="false" ht="15" hidden="false" customHeight="true" outlineLevel="0" collapsed="false">
      <c r="A127" s="7" t="s">
        <v>244</v>
      </c>
      <c r="B127" s="7" t="s">
        <v>34</v>
      </c>
      <c r="C127" s="7" t="s">
        <v>149</v>
      </c>
      <c r="D127" s="7" t="s">
        <v>230</v>
      </c>
      <c r="E127" s="7" t="n">
        <v>2018</v>
      </c>
      <c r="F127" s="7" t="n">
        <v>20553</v>
      </c>
      <c r="G127" s="7" t="s">
        <v>49</v>
      </c>
    </row>
    <row r="128" customFormat="false" ht="15" hidden="false" customHeight="true" outlineLevel="0" collapsed="false">
      <c r="A128" s="7" t="s">
        <v>245</v>
      </c>
      <c r="B128" s="7" t="s">
        <v>34</v>
      </c>
      <c r="C128" s="7" t="s">
        <v>149</v>
      </c>
      <c r="D128" s="7" t="s">
        <v>227</v>
      </c>
      <c r="E128" s="7" t="n">
        <v>2018</v>
      </c>
      <c r="F128" s="7" t="n">
        <v>12423</v>
      </c>
      <c r="G128" s="7" t="s">
        <v>5</v>
      </c>
    </row>
    <row r="129" customFormat="false" ht="15" hidden="false" customHeight="true" outlineLevel="0" collapsed="false">
      <c r="A129" s="7" t="s">
        <v>246</v>
      </c>
      <c r="B129" s="7" t="s">
        <v>34</v>
      </c>
      <c r="C129" s="7" t="s">
        <v>149</v>
      </c>
      <c r="D129" s="7" t="s">
        <v>230</v>
      </c>
      <c r="E129" s="7" t="n">
        <v>2018</v>
      </c>
      <c r="F129" s="7" t="n">
        <v>19353</v>
      </c>
      <c r="G129" s="7" t="s">
        <v>49</v>
      </c>
    </row>
    <row r="130" customFormat="false" ht="15" hidden="false" customHeight="true" outlineLevel="0" collapsed="false">
      <c r="A130" s="7" t="s">
        <v>247</v>
      </c>
      <c r="B130" s="7" t="s">
        <v>34</v>
      </c>
      <c r="C130" s="7" t="s">
        <v>149</v>
      </c>
      <c r="D130" s="7" t="s">
        <v>227</v>
      </c>
      <c r="E130" s="7" t="n">
        <v>2018</v>
      </c>
      <c r="F130" s="7" t="n">
        <v>28931</v>
      </c>
      <c r="G130" s="7" t="s">
        <v>5</v>
      </c>
    </row>
    <row r="131" customFormat="false" ht="15" hidden="false" customHeight="true" outlineLevel="0" collapsed="false">
      <c r="A131" s="7" t="s">
        <v>248</v>
      </c>
      <c r="B131" s="7" t="s">
        <v>34</v>
      </c>
      <c r="C131" s="7" t="s">
        <v>149</v>
      </c>
      <c r="D131" s="7" t="s">
        <v>227</v>
      </c>
      <c r="E131" s="7" t="n">
        <v>2018</v>
      </c>
      <c r="F131" s="7" t="n">
        <v>20937</v>
      </c>
      <c r="G131" s="7" t="s">
        <v>5</v>
      </c>
    </row>
    <row r="132" customFormat="false" ht="15" hidden="false" customHeight="true" outlineLevel="0" collapsed="false">
      <c r="A132" s="7" t="s">
        <v>249</v>
      </c>
      <c r="B132" s="7" t="s">
        <v>35</v>
      </c>
      <c r="C132" s="7" t="s">
        <v>149</v>
      </c>
      <c r="D132" s="7" t="s">
        <v>250</v>
      </c>
      <c r="E132" s="7" t="n">
        <v>2017</v>
      </c>
      <c r="F132" s="7" t="n">
        <v>23678</v>
      </c>
      <c r="G132" s="7" t="s">
        <v>49</v>
      </c>
    </row>
    <row r="133" customFormat="false" ht="15" hidden="false" customHeight="true" outlineLevel="0" collapsed="false">
      <c r="A133" s="7" t="s">
        <v>251</v>
      </c>
      <c r="B133" s="7" t="s">
        <v>35</v>
      </c>
      <c r="C133" s="7" t="s">
        <v>149</v>
      </c>
      <c r="D133" s="7" t="s">
        <v>250</v>
      </c>
      <c r="E133" s="7" t="n">
        <v>2017</v>
      </c>
      <c r="F133" s="7" t="n">
        <v>26565</v>
      </c>
      <c r="G133" s="7" t="s">
        <v>49</v>
      </c>
    </row>
    <row r="134" customFormat="false" ht="15" hidden="false" customHeight="true" outlineLevel="0" collapsed="false">
      <c r="A134" s="7" t="s">
        <v>252</v>
      </c>
      <c r="B134" s="7" t="s">
        <v>35</v>
      </c>
      <c r="C134" s="7" t="s">
        <v>149</v>
      </c>
      <c r="D134" s="7" t="s">
        <v>250</v>
      </c>
      <c r="E134" s="7" t="n">
        <v>2017</v>
      </c>
      <c r="F134" s="7"/>
      <c r="G134" s="7" t="s">
        <v>49</v>
      </c>
    </row>
    <row r="135" customFormat="false" ht="15" hidden="false" customHeight="true" outlineLevel="0" collapsed="false">
      <c r="A135" s="7" t="s">
        <v>253</v>
      </c>
      <c r="B135" s="7" t="s">
        <v>35</v>
      </c>
      <c r="C135" s="7" t="s">
        <v>149</v>
      </c>
      <c r="D135" s="7" t="s">
        <v>250</v>
      </c>
      <c r="E135" s="7" t="n">
        <v>2017</v>
      </c>
      <c r="F135" s="7" t="n">
        <v>26830</v>
      </c>
      <c r="G135" s="7" t="s">
        <v>49</v>
      </c>
    </row>
    <row r="136" customFormat="false" ht="15" hidden="false" customHeight="true" outlineLevel="0" collapsed="false">
      <c r="A136" s="7" t="s">
        <v>254</v>
      </c>
      <c r="B136" s="7" t="s">
        <v>35</v>
      </c>
      <c r="C136" s="7" t="s">
        <v>149</v>
      </c>
      <c r="D136" s="7" t="s">
        <v>250</v>
      </c>
      <c r="E136" s="7" t="n">
        <v>2017</v>
      </c>
      <c r="F136" s="7" t="n">
        <v>28713</v>
      </c>
      <c r="G136" s="7" t="s">
        <v>49</v>
      </c>
    </row>
    <row r="137" customFormat="false" ht="15" hidden="false" customHeight="true" outlineLevel="0" collapsed="false">
      <c r="A137" s="7" t="s">
        <v>255</v>
      </c>
      <c r="B137" s="7" t="s">
        <v>35</v>
      </c>
      <c r="C137" s="7" t="s">
        <v>149</v>
      </c>
      <c r="D137" s="7" t="s">
        <v>250</v>
      </c>
      <c r="E137" s="7" t="n">
        <v>2017</v>
      </c>
      <c r="F137" s="7" t="n">
        <v>30376</v>
      </c>
      <c r="G137" s="7" t="s">
        <v>49</v>
      </c>
    </row>
    <row r="138" customFormat="false" ht="15" hidden="false" customHeight="true" outlineLevel="0" collapsed="false">
      <c r="A138" s="7" t="s">
        <v>256</v>
      </c>
      <c r="B138" s="7" t="s">
        <v>35</v>
      </c>
      <c r="C138" s="7" t="s">
        <v>149</v>
      </c>
      <c r="D138" s="7" t="s">
        <v>250</v>
      </c>
      <c r="E138" s="7" t="n">
        <v>2017</v>
      </c>
      <c r="F138" s="7"/>
      <c r="G138" s="7" t="s">
        <v>49</v>
      </c>
    </row>
    <row r="139" customFormat="false" ht="15" hidden="false" customHeight="true" outlineLevel="0" collapsed="false">
      <c r="A139" s="7" t="s">
        <v>257</v>
      </c>
      <c r="B139" s="7" t="s">
        <v>35</v>
      </c>
      <c r="C139" s="7" t="s">
        <v>149</v>
      </c>
      <c r="D139" s="7" t="s">
        <v>258</v>
      </c>
      <c r="E139" s="7" t="n">
        <v>2018</v>
      </c>
      <c r="F139" s="7" t="n">
        <v>26551</v>
      </c>
      <c r="G139" s="7" t="s">
        <v>5</v>
      </c>
    </row>
    <row r="140" customFormat="false" ht="15" hidden="false" customHeight="true" outlineLevel="0" collapsed="false">
      <c r="A140" s="7" t="s">
        <v>259</v>
      </c>
      <c r="B140" s="7" t="s">
        <v>35</v>
      </c>
      <c r="C140" s="7" t="s">
        <v>149</v>
      </c>
      <c r="D140" s="7" t="s">
        <v>258</v>
      </c>
      <c r="E140" s="7" t="n">
        <v>2018</v>
      </c>
      <c r="F140" s="7" t="n">
        <v>23502</v>
      </c>
      <c r="G140" s="7" t="s">
        <v>5</v>
      </c>
    </row>
    <row r="141" customFormat="false" ht="15" hidden="false" customHeight="true" outlineLevel="0" collapsed="false">
      <c r="A141" s="7" t="s">
        <v>260</v>
      </c>
      <c r="B141" s="7" t="s">
        <v>35</v>
      </c>
      <c r="C141" s="7" t="s">
        <v>149</v>
      </c>
      <c r="D141" s="7" t="s">
        <v>250</v>
      </c>
      <c r="E141" s="7" t="n">
        <v>2018</v>
      </c>
      <c r="F141" s="7" t="n">
        <v>21070</v>
      </c>
      <c r="G141" s="7" t="s">
        <v>49</v>
      </c>
    </row>
    <row r="142" customFormat="false" ht="15" hidden="false" customHeight="true" outlineLevel="0" collapsed="false">
      <c r="A142" s="7" t="s">
        <v>261</v>
      </c>
      <c r="B142" s="7" t="s">
        <v>35</v>
      </c>
      <c r="C142" s="7" t="s">
        <v>149</v>
      </c>
      <c r="D142" s="7" t="s">
        <v>258</v>
      </c>
      <c r="E142" s="7" t="n">
        <v>2018</v>
      </c>
      <c r="F142" s="7" t="n">
        <v>14435</v>
      </c>
      <c r="G142" s="7" t="s">
        <v>5</v>
      </c>
    </row>
    <row r="143" customFormat="false" ht="15" hidden="false" customHeight="true" outlineLevel="0" collapsed="false">
      <c r="A143" s="7" t="s">
        <v>262</v>
      </c>
      <c r="B143" s="7" t="s">
        <v>35</v>
      </c>
      <c r="C143" s="7" t="s">
        <v>149</v>
      </c>
      <c r="D143" s="7" t="s">
        <v>258</v>
      </c>
      <c r="E143" s="7" t="n">
        <v>2018</v>
      </c>
      <c r="F143" s="7" t="n">
        <v>26548</v>
      </c>
      <c r="G143" s="7" t="s">
        <v>5</v>
      </c>
    </row>
    <row r="144" customFormat="false" ht="15" hidden="false" customHeight="true" outlineLevel="0" collapsed="false">
      <c r="A144" s="7" t="s">
        <v>263</v>
      </c>
      <c r="B144" s="7" t="s">
        <v>35</v>
      </c>
      <c r="C144" s="7" t="s">
        <v>149</v>
      </c>
      <c r="D144" s="7" t="s">
        <v>258</v>
      </c>
      <c r="E144" s="7" t="n">
        <v>2018</v>
      </c>
      <c r="F144" s="7" t="n">
        <v>36055</v>
      </c>
      <c r="G144" s="7" t="s">
        <v>5</v>
      </c>
    </row>
    <row r="145" customFormat="false" ht="15" hidden="false" customHeight="true" outlineLevel="0" collapsed="false">
      <c r="A145" s="7" t="s">
        <v>264</v>
      </c>
      <c r="B145" s="7" t="s">
        <v>35</v>
      </c>
      <c r="C145" s="7" t="s">
        <v>149</v>
      </c>
      <c r="D145" s="7" t="s">
        <v>258</v>
      </c>
      <c r="E145" s="7" t="n">
        <v>2018</v>
      </c>
      <c r="F145" s="7" t="n">
        <v>10193</v>
      </c>
      <c r="G145" s="7" t="s">
        <v>5</v>
      </c>
    </row>
    <row r="146" customFormat="false" ht="15" hidden="false" customHeight="true" outlineLevel="0" collapsed="false">
      <c r="A146" s="7" t="s">
        <v>265</v>
      </c>
      <c r="B146" s="7" t="s">
        <v>35</v>
      </c>
      <c r="C146" s="7" t="s">
        <v>149</v>
      </c>
      <c r="D146" s="7" t="s">
        <v>258</v>
      </c>
      <c r="E146" s="7" t="n">
        <v>2018</v>
      </c>
      <c r="F146" s="7" t="n">
        <v>27810</v>
      </c>
      <c r="G146" s="7" t="s">
        <v>5</v>
      </c>
    </row>
    <row r="147" customFormat="false" ht="15" hidden="false" customHeight="true" outlineLevel="0" collapsed="false">
      <c r="A147" s="7" t="s">
        <v>266</v>
      </c>
      <c r="B147" s="7" t="s">
        <v>35</v>
      </c>
      <c r="C147" s="7" t="s">
        <v>149</v>
      </c>
      <c r="D147" s="7" t="s">
        <v>250</v>
      </c>
      <c r="E147" s="7" t="n">
        <v>2018</v>
      </c>
      <c r="F147" s="7"/>
      <c r="G147" s="7" t="s">
        <v>49</v>
      </c>
    </row>
    <row r="148" customFormat="false" ht="15" hidden="false" customHeight="true" outlineLevel="0" collapsed="false">
      <c r="A148" s="7" t="s">
        <v>267</v>
      </c>
      <c r="B148" s="7" t="s">
        <v>35</v>
      </c>
      <c r="C148" s="7" t="s">
        <v>149</v>
      </c>
      <c r="D148" s="7" t="s">
        <v>250</v>
      </c>
      <c r="E148" s="7" t="n">
        <v>2018</v>
      </c>
      <c r="F148" s="7" t="n">
        <v>24212</v>
      </c>
      <c r="G148" s="7" t="s">
        <v>162</v>
      </c>
    </row>
    <row r="149" customFormat="false" ht="15" hidden="false" customHeight="true" outlineLevel="0" collapsed="false">
      <c r="A149" s="7" t="s">
        <v>268</v>
      </c>
      <c r="B149" s="7" t="s">
        <v>35</v>
      </c>
      <c r="C149" s="7" t="s">
        <v>149</v>
      </c>
      <c r="D149" s="7" t="s">
        <v>258</v>
      </c>
      <c r="E149" s="7" t="n">
        <v>2017</v>
      </c>
      <c r="F149" s="7" t="n">
        <v>18888</v>
      </c>
      <c r="G149" s="7" t="s">
        <v>5</v>
      </c>
    </row>
    <row r="150" customFormat="false" ht="15" hidden="false" customHeight="true" outlineLevel="0" collapsed="false">
      <c r="A150" s="7" t="s">
        <v>269</v>
      </c>
      <c r="B150" s="7" t="s">
        <v>35</v>
      </c>
      <c r="C150" s="7" t="s">
        <v>149</v>
      </c>
      <c r="D150" s="7" t="s">
        <v>250</v>
      </c>
      <c r="E150" s="7" t="n">
        <v>2018</v>
      </c>
      <c r="F150" s="7" t="n">
        <v>20485</v>
      </c>
      <c r="G150" s="7" t="s">
        <v>49</v>
      </c>
    </row>
    <row r="151" customFormat="false" ht="15" hidden="false" customHeight="true" outlineLevel="0" collapsed="false">
      <c r="A151" s="7" t="s">
        <v>270</v>
      </c>
      <c r="B151" s="7" t="s">
        <v>35</v>
      </c>
      <c r="C151" s="7" t="s">
        <v>149</v>
      </c>
      <c r="D151" s="7" t="s">
        <v>258</v>
      </c>
      <c r="E151" s="7" t="n">
        <v>2018</v>
      </c>
      <c r="F151" s="7" t="n">
        <v>26495</v>
      </c>
      <c r="G151" s="7" t="s">
        <v>5</v>
      </c>
    </row>
    <row r="152" customFormat="false" ht="15" hidden="false" customHeight="true" outlineLevel="0" collapsed="false">
      <c r="A152" s="7" t="s">
        <v>271</v>
      </c>
      <c r="B152" s="7" t="s">
        <v>35</v>
      </c>
      <c r="C152" s="7" t="s">
        <v>149</v>
      </c>
      <c r="D152" s="7" t="s">
        <v>258</v>
      </c>
      <c r="E152" s="7" t="n">
        <v>2018</v>
      </c>
      <c r="F152" s="7" t="n">
        <v>22425</v>
      </c>
      <c r="G152" s="7" t="s">
        <v>5</v>
      </c>
    </row>
    <row r="153" customFormat="false" ht="15" hidden="false" customHeight="true" outlineLevel="0" collapsed="false">
      <c r="A153" s="7" t="s">
        <v>272</v>
      </c>
      <c r="B153" s="7" t="s">
        <v>35</v>
      </c>
      <c r="C153" s="7" t="s">
        <v>149</v>
      </c>
      <c r="D153" s="7" t="s">
        <v>258</v>
      </c>
      <c r="E153" s="7" t="n">
        <v>2018</v>
      </c>
      <c r="F153" s="7" t="n">
        <v>24197</v>
      </c>
      <c r="G153" s="7" t="s">
        <v>5</v>
      </c>
    </row>
    <row r="154" customFormat="false" ht="15" hidden="false" customHeight="true" outlineLevel="0" collapsed="false">
      <c r="A154" s="7" t="s">
        <v>273</v>
      </c>
      <c r="B154" s="7" t="s">
        <v>35</v>
      </c>
      <c r="C154" s="7" t="s">
        <v>149</v>
      </c>
      <c r="D154" s="7" t="s">
        <v>258</v>
      </c>
      <c r="E154" s="7" t="n">
        <v>2018</v>
      </c>
      <c r="F154" s="7" t="n">
        <v>16536</v>
      </c>
      <c r="G154" s="7" t="s">
        <v>5</v>
      </c>
    </row>
    <row r="155" customFormat="false" ht="15" hidden="false" customHeight="true" outlineLevel="0" collapsed="false">
      <c r="A155" s="7" t="s">
        <v>274</v>
      </c>
      <c r="B155" s="7" t="s">
        <v>35</v>
      </c>
      <c r="C155" s="7" t="s">
        <v>149</v>
      </c>
      <c r="D155" s="7" t="s">
        <v>258</v>
      </c>
      <c r="E155" s="7" t="n">
        <v>2018</v>
      </c>
      <c r="F155" s="7" t="n">
        <v>16559</v>
      </c>
      <c r="G155" s="7" t="s">
        <v>5</v>
      </c>
    </row>
    <row r="156" customFormat="false" ht="15" hidden="false" customHeight="true" outlineLevel="0" collapsed="false">
      <c r="A156" s="7" t="s">
        <v>275</v>
      </c>
      <c r="B156" s="7" t="s">
        <v>35</v>
      </c>
      <c r="C156" s="7" t="s">
        <v>149</v>
      </c>
      <c r="D156" s="7" t="s">
        <v>250</v>
      </c>
      <c r="E156" s="7" t="n">
        <v>2018</v>
      </c>
      <c r="F156" s="7" t="n">
        <v>29915</v>
      </c>
      <c r="G156" s="7" t="s">
        <v>49</v>
      </c>
    </row>
    <row r="157" customFormat="false" ht="15" hidden="false" customHeight="true" outlineLevel="0" collapsed="false">
      <c r="A157" s="7" t="s">
        <v>276</v>
      </c>
      <c r="B157" s="7" t="s">
        <v>35</v>
      </c>
      <c r="C157" s="7" t="s">
        <v>149</v>
      </c>
      <c r="D157" s="7" t="s">
        <v>258</v>
      </c>
      <c r="E157" s="7" t="n">
        <v>2018</v>
      </c>
      <c r="F157" s="7" t="n">
        <v>29717</v>
      </c>
      <c r="G157" s="7" t="s">
        <v>5</v>
      </c>
    </row>
    <row r="158" customFormat="false" ht="15" hidden="false" customHeight="true" outlineLevel="0" collapsed="false">
      <c r="A158" s="7" t="s">
        <v>277</v>
      </c>
      <c r="B158" s="7" t="s">
        <v>35</v>
      </c>
      <c r="C158" s="7" t="s">
        <v>149</v>
      </c>
      <c r="D158" s="7" t="s">
        <v>258</v>
      </c>
      <c r="E158" s="7" t="n">
        <v>2018</v>
      </c>
      <c r="F158" s="7" t="n">
        <v>18318</v>
      </c>
      <c r="G158" s="7" t="s">
        <v>5</v>
      </c>
    </row>
    <row r="159" customFormat="false" ht="15" hidden="false" customHeight="true" outlineLevel="0" collapsed="false">
      <c r="A159" s="7" t="s">
        <v>278</v>
      </c>
      <c r="B159" s="7" t="s">
        <v>35</v>
      </c>
      <c r="C159" s="7" t="s">
        <v>149</v>
      </c>
      <c r="D159" s="7" t="s">
        <v>258</v>
      </c>
      <c r="E159" s="7" t="n">
        <v>2018</v>
      </c>
      <c r="F159" s="7" t="n">
        <v>18318</v>
      </c>
      <c r="G159" s="7" t="s">
        <v>5</v>
      </c>
    </row>
    <row r="160" customFormat="false" ht="15" hidden="false" customHeight="true" outlineLevel="0" collapsed="false">
      <c r="A160" s="7" t="s">
        <v>279</v>
      </c>
      <c r="B160" s="7" t="s">
        <v>35</v>
      </c>
      <c r="C160" s="7" t="s">
        <v>149</v>
      </c>
      <c r="D160" s="7" t="s">
        <v>250</v>
      </c>
      <c r="E160" s="7" t="n">
        <v>2018</v>
      </c>
      <c r="F160" s="7" t="n">
        <v>23754</v>
      </c>
      <c r="G160" s="7" t="s">
        <v>49</v>
      </c>
    </row>
    <row r="161" customFormat="false" ht="15" hidden="false" customHeight="true" outlineLevel="0" collapsed="false">
      <c r="A161" s="7" t="s">
        <v>280</v>
      </c>
      <c r="B161" s="7" t="s">
        <v>35</v>
      </c>
      <c r="C161" s="7" t="s">
        <v>149</v>
      </c>
      <c r="D161" s="7" t="s">
        <v>258</v>
      </c>
      <c r="E161" s="7" t="n">
        <v>2018</v>
      </c>
      <c r="F161" s="7" t="n">
        <v>25983</v>
      </c>
      <c r="G161" s="7" t="s">
        <v>5</v>
      </c>
    </row>
    <row r="162" customFormat="false" ht="15" hidden="false" customHeight="true" outlineLevel="0" collapsed="false">
      <c r="A162" s="7" t="s">
        <v>281</v>
      </c>
      <c r="B162" s="7" t="s">
        <v>35</v>
      </c>
      <c r="C162" s="7" t="s">
        <v>149</v>
      </c>
      <c r="D162" s="7" t="s">
        <v>250</v>
      </c>
      <c r="E162" s="7" t="n">
        <v>2018</v>
      </c>
      <c r="F162" s="7" t="n">
        <v>29672</v>
      </c>
      <c r="G162" s="7" t="s">
        <v>49</v>
      </c>
    </row>
    <row r="163" customFormat="false" ht="15" hidden="false" customHeight="true" outlineLevel="0" collapsed="false">
      <c r="A163" s="7" t="s">
        <v>282</v>
      </c>
      <c r="B163" s="7" t="s">
        <v>35</v>
      </c>
      <c r="C163" s="7" t="s">
        <v>149</v>
      </c>
      <c r="D163" s="7" t="s">
        <v>250</v>
      </c>
      <c r="E163" s="7" t="n">
        <v>2018</v>
      </c>
      <c r="F163" s="7" t="n">
        <v>24498</v>
      </c>
      <c r="G163" s="7" t="s">
        <v>49</v>
      </c>
    </row>
    <row r="164" customFormat="false" ht="15" hidden="false" customHeight="true" outlineLevel="0" collapsed="false">
      <c r="A164" s="7" t="s">
        <v>283</v>
      </c>
      <c r="B164" s="7" t="s">
        <v>35</v>
      </c>
      <c r="C164" s="7" t="s">
        <v>149</v>
      </c>
      <c r="D164" s="7" t="s">
        <v>250</v>
      </c>
      <c r="E164" s="7" t="n">
        <v>2018</v>
      </c>
      <c r="F164" s="7" t="n">
        <v>23790</v>
      </c>
      <c r="G164" s="7" t="s">
        <v>49</v>
      </c>
    </row>
    <row r="165" customFormat="false" ht="15" hidden="false" customHeight="true" outlineLevel="0" collapsed="false">
      <c r="A165" s="7" t="s">
        <v>284</v>
      </c>
      <c r="B165" s="7" t="s">
        <v>35</v>
      </c>
      <c r="C165" s="7" t="s">
        <v>149</v>
      </c>
      <c r="D165" s="7" t="s">
        <v>250</v>
      </c>
      <c r="E165" s="7" t="n">
        <v>2018</v>
      </c>
      <c r="F165" s="7" t="n">
        <v>21499</v>
      </c>
      <c r="G165" s="7" t="s">
        <v>49</v>
      </c>
    </row>
    <row r="166" customFormat="false" ht="15" hidden="false" customHeight="true" outlineLevel="0" collapsed="false">
      <c r="A166" s="7" t="s">
        <v>285</v>
      </c>
      <c r="B166" s="7" t="s">
        <v>36</v>
      </c>
      <c r="C166" s="7" t="s">
        <v>286</v>
      </c>
      <c r="D166" s="7" t="s">
        <v>287</v>
      </c>
      <c r="E166" s="7" t="n">
        <v>2024</v>
      </c>
      <c r="F166" s="7" t="n">
        <v>13741</v>
      </c>
      <c r="G166" s="7" t="s">
        <v>49</v>
      </c>
    </row>
    <row r="167" customFormat="false" ht="15" hidden="false" customHeight="true" outlineLevel="0" collapsed="false">
      <c r="A167" s="7" t="s">
        <v>288</v>
      </c>
      <c r="B167" s="7" t="s">
        <v>36</v>
      </c>
      <c r="C167" s="7" t="s">
        <v>286</v>
      </c>
      <c r="D167" s="7" t="s">
        <v>287</v>
      </c>
      <c r="E167" s="7" t="n">
        <v>2024</v>
      </c>
      <c r="F167" s="7" t="n">
        <v>15369</v>
      </c>
      <c r="G167" s="7" t="s">
        <v>49</v>
      </c>
    </row>
    <row r="168" customFormat="false" ht="15" hidden="false" customHeight="true" outlineLevel="0" collapsed="false">
      <c r="A168" s="7" t="s">
        <v>289</v>
      </c>
      <c r="B168" s="7" t="s">
        <v>36</v>
      </c>
      <c r="C168" s="7" t="s">
        <v>286</v>
      </c>
      <c r="D168" s="7" t="s">
        <v>287</v>
      </c>
      <c r="E168" s="7" t="n">
        <v>2024</v>
      </c>
      <c r="F168" s="7" t="n">
        <v>14886</v>
      </c>
      <c r="G168" s="7" t="s">
        <v>49</v>
      </c>
    </row>
    <row r="169" customFormat="false" ht="15" hidden="false" customHeight="true" outlineLevel="0" collapsed="false">
      <c r="A169" s="7" t="s">
        <v>290</v>
      </c>
      <c r="B169" s="7" t="s">
        <v>36</v>
      </c>
      <c r="C169" s="7" t="s">
        <v>286</v>
      </c>
      <c r="D169" s="7" t="s">
        <v>287</v>
      </c>
      <c r="E169" s="7" t="n">
        <v>2024</v>
      </c>
      <c r="F169" s="7" t="n">
        <v>18035</v>
      </c>
      <c r="G169" s="7" t="s">
        <v>49</v>
      </c>
    </row>
    <row r="170" customFormat="false" ht="15" hidden="false" customHeight="true" outlineLevel="0" collapsed="false">
      <c r="A170" s="7" t="s">
        <v>291</v>
      </c>
      <c r="B170" s="7" t="s">
        <v>36</v>
      </c>
      <c r="C170" s="7" t="s">
        <v>286</v>
      </c>
      <c r="D170" s="7" t="s">
        <v>287</v>
      </c>
      <c r="E170" s="7" t="n">
        <v>2024</v>
      </c>
      <c r="F170" s="7" t="n">
        <v>12737</v>
      </c>
      <c r="G170" s="7" t="s">
        <v>49</v>
      </c>
    </row>
    <row r="171" customFormat="false" ht="15" hidden="false" customHeight="true" outlineLevel="0" collapsed="false">
      <c r="A171" s="7" t="s">
        <v>292</v>
      </c>
      <c r="B171" s="7" t="s">
        <v>36</v>
      </c>
      <c r="C171" s="7" t="s">
        <v>286</v>
      </c>
      <c r="D171" s="7" t="s">
        <v>287</v>
      </c>
      <c r="E171" s="7" t="n">
        <v>2024</v>
      </c>
      <c r="F171" s="7" t="n">
        <v>14095</v>
      </c>
      <c r="G171" s="7" t="s">
        <v>49</v>
      </c>
    </row>
    <row r="172" customFormat="false" ht="15" hidden="false" customHeight="true" outlineLevel="0" collapsed="false">
      <c r="A172" s="7" t="s">
        <v>293</v>
      </c>
      <c r="B172" s="7" t="s">
        <v>37</v>
      </c>
      <c r="C172" s="7" t="s">
        <v>149</v>
      </c>
      <c r="D172" s="7" t="s">
        <v>294</v>
      </c>
      <c r="E172" s="7" t="n">
        <v>2017</v>
      </c>
      <c r="F172" s="7" t="n">
        <v>28796</v>
      </c>
      <c r="G172" s="7" t="s">
        <v>49</v>
      </c>
    </row>
    <row r="173" customFormat="false" ht="15" hidden="false" customHeight="true" outlineLevel="0" collapsed="false">
      <c r="A173" s="7" t="s">
        <v>295</v>
      </c>
      <c r="B173" s="7" t="s">
        <v>37</v>
      </c>
      <c r="C173" s="7" t="s">
        <v>149</v>
      </c>
      <c r="D173" s="7" t="s">
        <v>294</v>
      </c>
      <c r="E173" s="7" t="n">
        <v>2017</v>
      </c>
      <c r="F173" s="7" t="n">
        <v>28796</v>
      </c>
      <c r="G173" s="7" t="s">
        <v>49</v>
      </c>
    </row>
    <row r="174" customFormat="false" ht="15" hidden="false" customHeight="true" outlineLevel="0" collapsed="false">
      <c r="A174" s="7" t="s">
        <v>296</v>
      </c>
      <c r="B174" s="7" t="s">
        <v>37</v>
      </c>
      <c r="C174" s="7" t="s">
        <v>149</v>
      </c>
      <c r="D174" s="7" t="s">
        <v>294</v>
      </c>
      <c r="E174" s="7" t="n">
        <v>2017</v>
      </c>
      <c r="F174" s="7" t="n">
        <v>29269</v>
      </c>
      <c r="G174" s="7" t="s">
        <v>49</v>
      </c>
    </row>
    <row r="175" customFormat="false" ht="15" hidden="false" customHeight="true" outlineLevel="0" collapsed="false">
      <c r="A175" s="7" t="s">
        <v>297</v>
      </c>
      <c r="B175" s="7" t="s">
        <v>37</v>
      </c>
      <c r="C175" s="7" t="s">
        <v>149</v>
      </c>
      <c r="D175" s="7" t="s">
        <v>294</v>
      </c>
      <c r="E175" s="7" t="n">
        <v>2017</v>
      </c>
      <c r="F175" s="7" t="n">
        <v>33393</v>
      </c>
      <c r="G175" s="7" t="s">
        <v>49</v>
      </c>
    </row>
    <row r="176" customFormat="false" ht="15" hidden="false" customHeight="true" outlineLevel="0" collapsed="false">
      <c r="A176" s="7" t="s">
        <v>298</v>
      </c>
      <c r="B176" s="7" t="s">
        <v>37</v>
      </c>
      <c r="C176" s="7" t="s">
        <v>149</v>
      </c>
      <c r="D176" s="7" t="s">
        <v>294</v>
      </c>
      <c r="E176" s="7" t="n">
        <v>2017</v>
      </c>
      <c r="F176" s="7" t="n">
        <v>31961</v>
      </c>
      <c r="G176" s="7" t="s">
        <v>49</v>
      </c>
    </row>
    <row r="177" customFormat="false" ht="15" hidden="false" customHeight="true" outlineLevel="0" collapsed="false">
      <c r="A177" s="7" t="s">
        <v>299</v>
      </c>
      <c r="B177" s="7" t="s">
        <v>37</v>
      </c>
      <c r="C177" s="7" t="s">
        <v>149</v>
      </c>
      <c r="D177" s="7" t="s">
        <v>294</v>
      </c>
      <c r="E177" s="7" t="n">
        <v>2017</v>
      </c>
      <c r="F177" s="7" t="n">
        <v>32544</v>
      </c>
      <c r="G177" s="7" t="s">
        <v>49</v>
      </c>
    </row>
    <row r="178" customFormat="false" ht="15" hidden="false" customHeight="true" outlineLevel="0" collapsed="false">
      <c r="A178" s="7" t="s">
        <v>300</v>
      </c>
      <c r="B178" s="7" t="s">
        <v>37</v>
      </c>
      <c r="C178" s="7" t="s">
        <v>149</v>
      </c>
      <c r="D178" s="7" t="s">
        <v>294</v>
      </c>
      <c r="E178" s="7" t="n">
        <v>2017</v>
      </c>
      <c r="F178" s="7" t="n">
        <v>33643</v>
      </c>
      <c r="G178" s="7" t="s">
        <v>49</v>
      </c>
    </row>
    <row r="179" customFormat="false" ht="15" hidden="false" customHeight="true" outlineLevel="0" collapsed="false">
      <c r="A179" s="7" t="s">
        <v>301</v>
      </c>
      <c r="B179" s="7" t="s">
        <v>37</v>
      </c>
      <c r="C179" s="7" t="s">
        <v>149</v>
      </c>
      <c r="D179" s="7" t="s">
        <v>294</v>
      </c>
      <c r="E179" s="7" t="n">
        <v>2017</v>
      </c>
      <c r="F179" s="7" t="n">
        <v>32315</v>
      </c>
      <c r="G179" s="7" t="s">
        <v>49</v>
      </c>
    </row>
    <row r="180" customFormat="false" ht="15" hidden="false" customHeight="true" outlineLevel="0" collapsed="false">
      <c r="A180" s="7" t="s">
        <v>302</v>
      </c>
      <c r="B180" s="7" t="s">
        <v>37</v>
      </c>
      <c r="C180" s="7" t="s">
        <v>149</v>
      </c>
      <c r="D180" s="7" t="s">
        <v>294</v>
      </c>
      <c r="E180" s="7" t="n">
        <v>2017</v>
      </c>
      <c r="F180" s="7" t="n">
        <v>32691</v>
      </c>
      <c r="G180" s="7" t="s">
        <v>49</v>
      </c>
    </row>
    <row r="181" customFormat="false" ht="15" hidden="false" customHeight="true" outlineLevel="0" collapsed="false">
      <c r="A181" s="7" t="s">
        <v>303</v>
      </c>
      <c r="B181" s="7" t="s">
        <v>37</v>
      </c>
      <c r="C181" s="7" t="s">
        <v>149</v>
      </c>
      <c r="D181" s="7" t="s">
        <v>294</v>
      </c>
      <c r="E181" s="7" t="n">
        <v>2017</v>
      </c>
      <c r="F181" s="7" t="n">
        <v>33634</v>
      </c>
      <c r="G181" s="7" t="s">
        <v>49</v>
      </c>
    </row>
    <row r="182" customFormat="false" ht="15" hidden="false" customHeight="true" outlineLevel="0" collapsed="false">
      <c r="A182" s="7" t="s">
        <v>304</v>
      </c>
      <c r="B182" s="7" t="s">
        <v>37</v>
      </c>
      <c r="C182" s="7" t="s">
        <v>149</v>
      </c>
      <c r="D182" s="7" t="s">
        <v>294</v>
      </c>
      <c r="E182" s="7" t="n">
        <v>2017</v>
      </c>
      <c r="F182" s="7" t="n">
        <v>30757</v>
      </c>
      <c r="G182" s="7" t="s">
        <v>49</v>
      </c>
    </row>
    <row r="183" customFormat="false" ht="15" hidden="false" customHeight="true" outlineLevel="0" collapsed="false">
      <c r="A183" s="7" t="s">
        <v>305</v>
      </c>
      <c r="B183" s="7" t="s">
        <v>37</v>
      </c>
      <c r="C183" s="7" t="s">
        <v>149</v>
      </c>
      <c r="D183" s="7" t="s">
        <v>294</v>
      </c>
      <c r="E183" s="7" t="n">
        <v>2017</v>
      </c>
      <c r="F183" s="7" t="n">
        <v>35477</v>
      </c>
      <c r="G183" s="7" t="s">
        <v>49</v>
      </c>
    </row>
    <row r="184" customFormat="false" ht="15" hidden="false" customHeight="true" outlineLevel="0" collapsed="false">
      <c r="A184" s="7" t="s">
        <v>306</v>
      </c>
      <c r="B184" s="7" t="s">
        <v>37</v>
      </c>
      <c r="C184" s="7" t="s">
        <v>149</v>
      </c>
      <c r="D184" s="7" t="s">
        <v>294</v>
      </c>
      <c r="E184" s="7" t="n">
        <v>2017</v>
      </c>
      <c r="F184" s="7" t="n">
        <v>35477</v>
      </c>
      <c r="G184" s="7" t="s">
        <v>49</v>
      </c>
    </row>
    <row r="185" customFormat="false" ht="15" hidden="false" customHeight="true" outlineLevel="0" collapsed="false">
      <c r="A185" s="7" t="s">
        <v>307</v>
      </c>
      <c r="B185" s="7" t="s">
        <v>37</v>
      </c>
      <c r="C185" s="7" t="s">
        <v>149</v>
      </c>
      <c r="D185" s="7" t="s">
        <v>294</v>
      </c>
      <c r="E185" s="7" t="n">
        <v>2017</v>
      </c>
      <c r="F185" s="7" t="n">
        <v>29481</v>
      </c>
      <c r="G185" s="7" t="s">
        <v>49</v>
      </c>
    </row>
    <row r="186" customFormat="false" ht="15" hidden="false" customHeight="true" outlineLevel="0" collapsed="false">
      <c r="A186" s="7" t="s">
        <v>308</v>
      </c>
      <c r="B186" s="7" t="s">
        <v>37</v>
      </c>
      <c r="C186" s="7" t="s">
        <v>149</v>
      </c>
      <c r="D186" s="7" t="s">
        <v>294</v>
      </c>
      <c r="E186" s="7" t="n">
        <v>2017</v>
      </c>
      <c r="F186" s="7" t="n">
        <v>29680</v>
      </c>
      <c r="G186" s="7" t="s">
        <v>5</v>
      </c>
    </row>
    <row r="187" customFormat="false" ht="15" hidden="false" customHeight="true" outlineLevel="0" collapsed="false">
      <c r="A187" s="7" t="s">
        <v>309</v>
      </c>
      <c r="B187" s="7" t="s">
        <v>37</v>
      </c>
      <c r="C187" s="7" t="s">
        <v>149</v>
      </c>
      <c r="D187" s="7" t="s">
        <v>294</v>
      </c>
      <c r="E187" s="7" t="n">
        <v>2017</v>
      </c>
      <c r="F187" s="7" t="n">
        <v>14890</v>
      </c>
      <c r="G187" s="7" t="s">
        <v>5</v>
      </c>
    </row>
    <row r="188" customFormat="false" ht="15" hidden="false" customHeight="true" outlineLevel="0" collapsed="false">
      <c r="A188" s="7" t="s">
        <v>310</v>
      </c>
      <c r="B188" s="7" t="s">
        <v>37</v>
      </c>
      <c r="C188" s="7" t="s">
        <v>149</v>
      </c>
      <c r="D188" s="7" t="s">
        <v>294</v>
      </c>
      <c r="E188" s="7" t="n">
        <v>2018</v>
      </c>
      <c r="F188" s="7" t="n">
        <v>20760</v>
      </c>
      <c r="G188" s="7" t="s">
        <v>5</v>
      </c>
    </row>
    <row r="189" customFormat="false" ht="15" hidden="false" customHeight="true" outlineLevel="0" collapsed="false">
      <c r="A189" s="7" t="s">
        <v>311</v>
      </c>
      <c r="B189" s="7" t="s">
        <v>37</v>
      </c>
      <c r="C189" s="7" t="s">
        <v>149</v>
      </c>
      <c r="D189" s="7" t="s">
        <v>294</v>
      </c>
      <c r="E189" s="7" t="n">
        <v>2018</v>
      </c>
      <c r="F189" s="7" t="n">
        <v>16925</v>
      </c>
      <c r="G189" s="7" t="s">
        <v>5</v>
      </c>
    </row>
    <row r="190" customFormat="false" ht="15" hidden="false" customHeight="true" outlineLevel="0" collapsed="false">
      <c r="A190" s="7" t="s">
        <v>312</v>
      </c>
      <c r="B190" s="7" t="s">
        <v>37</v>
      </c>
      <c r="C190" s="7" t="s">
        <v>149</v>
      </c>
      <c r="D190" s="7" t="s">
        <v>294</v>
      </c>
      <c r="E190" s="7" t="n">
        <v>2018</v>
      </c>
      <c r="F190" s="7" t="n">
        <v>25627</v>
      </c>
      <c r="G190" s="7" t="s">
        <v>5</v>
      </c>
    </row>
    <row r="191" customFormat="false" ht="15" hidden="false" customHeight="true" outlineLevel="0" collapsed="false">
      <c r="A191" s="7" t="s">
        <v>313</v>
      </c>
      <c r="B191" s="7" t="s">
        <v>37</v>
      </c>
      <c r="C191" s="7" t="s">
        <v>149</v>
      </c>
      <c r="D191" s="7" t="s">
        <v>294</v>
      </c>
      <c r="E191" s="7" t="n">
        <v>2018</v>
      </c>
      <c r="F191" s="7" t="n">
        <v>38376</v>
      </c>
      <c r="G191" s="7" t="s">
        <v>5</v>
      </c>
    </row>
    <row r="192" customFormat="false" ht="15" hidden="false" customHeight="true" outlineLevel="0" collapsed="false">
      <c r="A192" s="7" t="s">
        <v>314</v>
      </c>
      <c r="B192" s="7" t="s">
        <v>37</v>
      </c>
      <c r="C192" s="7" t="s">
        <v>149</v>
      </c>
      <c r="D192" s="7" t="s">
        <v>294</v>
      </c>
      <c r="E192" s="7" t="n">
        <v>2018</v>
      </c>
      <c r="F192" s="7" t="n">
        <v>19394</v>
      </c>
      <c r="G192" s="7" t="s">
        <v>5</v>
      </c>
    </row>
    <row r="193" customFormat="false" ht="15" hidden="false" customHeight="true" outlineLevel="0" collapsed="false">
      <c r="A193" s="7" t="s">
        <v>315</v>
      </c>
      <c r="B193" s="7" t="s">
        <v>37</v>
      </c>
      <c r="C193" s="7" t="s">
        <v>149</v>
      </c>
      <c r="D193" s="7" t="s">
        <v>294</v>
      </c>
      <c r="E193" s="7" t="n">
        <v>2018</v>
      </c>
      <c r="F193" s="7" t="n">
        <v>21220</v>
      </c>
      <c r="G193" s="7" t="s">
        <v>5</v>
      </c>
    </row>
    <row r="194" customFormat="false" ht="15" hidden="false" customHeight="true" outlineLevel="0" collapsed="false">
      <c r="A194" s="7" t="s">
        <v>316</v>
      </c>
      <c r="B194" s="7" t="s">
        <v>37</v>
      </c>
      <c r="C194" s="7" t="s">
        <v>149</v>
      </c>
      <c r="D194" s="7" t="s">
        <v>294</v>
      </c>
      <c r="E194" s="7" t="n">
        <v>2018</v>
      </c>
      <c r="F194" s="7" t="n">
        <v>20615</v>
      </c>
      <c r="G194" s="7" t="s">
        <v>5</v>
      </c>
    </row>
    <row r="195" customFormat="false" ht="15" hidden="false" customHeight="true" outlineLevel="0" collapsed="false">
      <c r="A195" s="7" t="s">
        <v>317</v>
      </c>
      <c r="B195" s="7" t="s">
        <v>37</v>
      </c>
      <c r="C195" s="7" t="s">
        <v>149</v>
      </c>
      <c r="D195" s="7" t="s">
        <v>294</v>
      </c>
      <c r="E195" s="7" t="n">
        <v>2018</v>
      </c>
      <c r="F195" s="7" t="n">
        <v>26567</v>
      </c>
      <c r="G195" s="7" t="s">
        <v>49</v>
      </c>
    </row>
    <row r="196" customFormat="false" ht="15" hidden="false" customHeight="true" outlineLevel="0" collapsed="false">
      <c r="A196" s="7" t="s">
        <v>318</v>
      </c>
      <c r="B196" s="7" t="s">
        <v>37</v>
      </c>
      <c r="C196" s="7" t="s">
        <v>149</v>
      </c>
      <c r="D196" s="7" t="s">
        <v>294</v>
      </c>
      <c r="E196" s="7" t="n">
        <v>2018</v>
      </c>
      <c r="F196" s="7" t="n">
        <v>26567</v>
      </c>
      <c r="G196" s="7" t="s">
        <v>49</v>
      </c>
    </row>
    <row r="197" customFormat="false" ht="15" hidden="false" customHeight="true" outlineLevel="0" collapsed="false">
      <c r="A197" s="7" t="s">
        <v>319</v>
      </c>
      <c r="B197" s="7" t="s">
        <v>37</v>
      </c>
      <c r="C197" s="7" t="s">
        <v>149</v>
      </c>
      <c r="D197" s="7" t="s">
        <v>294</v>
      </c>
      <c r="E197" s="7" t="n">
        <v>2018</v>
      </c>
      <c r="F197" s="7" t="n">
        <v>24787</v>
      </c>
      <c r="G197" s="7" t="s">
        <v>49</v>
      </c>
    </row>
    <row r="198" customFormat="false" ht="15" hidden="false" customHeight="true" outlineLevel="0" collapsed="false">
      <c r="A198" s="7" t="s">
        <v>320</v>
      </c>
      <c r="B198" s="7" t="s">
        <v>37</v>
      </c>
      <c r="C198" s="7" t="s">
        <v>149</v>
      </c>
      <c r="D198" s="7" t="s">
        <v>294</v>
      </c>
      <c r="E198" s="7" t="n">
        <v>2018</v>
      </c>
      <c r="F198" s="7" t="n">
        <v>6824</v>
      </c>
      <c r="G198" s="7" t="s">
        <v>49</v>
      </c>
    </row>
    <row r="199" customFormat="false" ht="15" hidden="false" customHeight="true" outlineLevel="0" collapsed="false">
      <c r="A199" s="7" t="s">
        <v>321</v>
      </c>
      <c r="B199" s="7" t="s">
        <v>37</v>
      </c>
      <c r="C199" s="7" t="s">
        <v>149</v>
      </c>
      <c r="D199" s="7" t="s">
        <v>294</v>
      </c>
      <c r="E199" s="7" t="n">
        <v>2018</v>
      </c>
      <c r="F199" s="7" t="n">
        <v>23212</v>
      </c>
      <c r="G199" s="7" t="s">
        <v>49</v>
      </c>
    </row>
    <row r="200" customFormat="false" ht="15" hidden="false" customHeight="true" outlineLevel="0" collapsed="false">
      <c r="A200" s="7" t="s">
        <v>322</v>
      </c>
      <c r="B200" s="7" t="s">
        <v>37</v>
      </c>
      <c r="C200" s="7" t="s">
        <v>149</v>
      </c>
      <c r="D200" s="7" t="s">
        <v>294</v>
      </c>
      <c r="E200" s="7" t="n">
        <v>2018</v>
      </c>
      <c r="F200" s="7" t="n">
        <v>22996</v>
      </c>
      <c r="G200" s="7" t="s">
        <v>49</v>
      </c>
    </row>
    <row r="201" customFormat="false" ht="15" hidden="false" customHeight="true" outlineLevel="0" collapsed="false">
      <c r="A201" s="7" t="s">
        <v>323</v>
      </c>
      <c r="B201" s="7" t="s">
        <v>37</v>
      </c>
      <c r="C201" s="7" t="s">
        <v>149</v>
      </c>
      <c r="D201" s="7" t="s">
        <v>294</v>
      </c>
      <c r="E201" s="7" t="n">
        <v>2018</v>
      </c>
      <c r="F201" s="7" t="n">
        <v>18740</v>
      </c>
      <c r="G201" s="7" t="s">
        <v>5</v>
      </c>
    </row>
    <row r="202" customFormat="false" ht="15" hidden="false" customHeight="true" outlineLevel="0" collapsed="false">
      <c r="A202" s="7" t="s">
        <v>324</v>
      </c>
      <c r="B202" s="7" t="s">
        <v>37</v>
      </c>
      <c r="C202" s="7" t="s">
        <v>149</v>
      </c>
      <c r="D202" s="7" t="s">
        <v>294</v>
      </c>
      <c r="E202" s="7" t="n">
        <v>2018</v>
      </c>
      <c r="F202" s="7" t="n">
        <v>17650</v>
      </c>
      <c r="G202" s="7" t="s">
        <v>5</v>
      </c>
    </row>
    <row r="203" customFormat="false" ht="15" hidden="false" customHeight="true" outlineLevel="0" collapsed="false">
      <c r="A203" s="7" t="s">
        <v>325</v>
      </c>
      <c r="B203" s="7" t="s">
        <v>37</v>
      </c>
      <c r="C203" s="7" t="s">
        <v>149</v>
      </c>
      <c r="D203" s="7" t="s">
        <v>294</v>
      </c>
      <c r="E203" s="7" t="n">
        <v>2021</v>
      </c>
      <c r="F203" s="7" t="n">
        <v>19620</v>
      </c>
      <c r="G203" s="7" t="s">
        <v>5</v>
      </c>
    </row>
    <row r="204" customFormat="false" ht="15" hidden="false" customHeight="true" outlineLevel="0" collapsed="false">
      <c r="A204" s="7" t="s">
        <v>326</v>
      </c>
      <c r="B204" s="7" t="s">
        <v>37</v>
      </c>
      <c r="C204" s="7" t="s">
        <v>149</v>
      </c>
      <c r="D204" s="7" t="s">
        <v>294</v>
      </c>
      <c r="E204" s="7" t="n">
        <v>2021</v>
      </c>
      <c r="F204" s="7" t="n">
        <v>12346</v>
      </c>
      <c r="G204" s="7" t="s">
        <v>5</v>
      </c>
    </row>
    <row r="205" customFormat="false" ht="15" hidden="false" customHeight="true" outlineLevel="0" collapsed="false">
      <c r="A205" s="7" t="s">
        <v>327</v>
      </c>
      <c r="B205" s="7" t="s">
        <v>37</v>
      </c>
      <c r="C205" s="7" t="s">
        <v>149</v>
      </c>
      <c r="D205" s="7" t="s">
        <v>294</v>
      </c>
      <c r="E205" s="7" t="n">
        <v>2017</v>
      </c>
      <c r="F205" s="7" t="n">
        <v>31961</v>
      </c>
      <c r="G205" s="7" t="s">
        <v>49</v>
      </c>
    </row>
    <row r="206" customFormat="false" ht="15" hidden="false" customHeight="true" outlineLevel="0" collapsed="false">
      <c r="A206" s="7" t="s">
        <v>328</v>
      </c>
      <c r="B206" s="7" t="s">
        <v>329</v>
      </c>
      <c r="C206" s="7"/>
      <c r="D206" s="7"/>
      <c r="E206" s="7"/>
      <c r="F206" s="7"/>
      <c r="G206" s="7" t="s">
        <v>49</v>
      </c>
    </row>
    <row r="207" customFormat="false" ht="15" hidden="false" customHeight="true" outlineLevel="0" collapsed="false">
      <c r="A207" s="7" t="s">
        <v>330</v>
      </c>
      <c r="B207" s="7" t="s">
        <v>329</v>
      </c>
      <c r="C207" s="7"/>
      <c r="D207" s="7"/>
      <c r="E207" s="7"/>
      <c r="F207" s="7"/>
      <c r="G207" s="7" t="s">
        <v>49</v>
      </c>
    </row>
    <row r="208" customFormat="false" ht="15" hidden="false" customHeight="true" outlineLevel="0" collapsed="false">
      <c r="A208" s="7" t="s">
        <v>331</v>
      </c>
      <c r="B208" s="7" t="s">
        <v>329</v>
      </c>
      <c r="C208" s="7"/>
      <c r="D208" s="7"/>
      <c r="E208" s="7"/>
      <c r="F208" s="7"/>
      <c r="G208" s="7" t="s">
        <v>49</v>
      </c>
    </row>
    <row r="209" customFormat="false" ht="15" hidden="false" customHeight="true" outlineLevel="0" collapsed="false">
      <c r="A209" s="7" t="s">
        <v>332</v>
      </c>
      <c r="B209" s="7" t="s">
        <v>329</v>
      </c>
      <c r="C209" s="7"/>
      <c r="D209" s="7"/>
      <c r="E209" s="7"/>
      <c r="F209" s="7"/>
      <c r="G209" s="7" t="s">
        <v>49</v>
      </c>
    </row>
    <row r="210" customFormat="false" ht="15" hidden="false" customHeight="true" outlineLevel="0" collapsed="false">
      <c r="A210" s="7" t="s">
        <v>333</v>
      </c>
      <c r="B210" s="7" t="s">
        <v>329</v>
      </c>
      <c r="C210" s="7"/>
      <c r="D210" s="7"/>
      <c r="E210" s="7"/>
      <c r="F210" s="7"/>
      <c r="G210" s="7" t="s">
        <v>49</v>
      </c>
    </row>
    <row r="211" customFormat="false" ht="15" hidden="false" customHeight="true" outlineLevel="0" collapsed="false">
      <c r="A211" s="7" t="s">
        <v>334</v>
      </c>
      <c r="B211" s="7" t="s">
        <v>329</v>
      </c>
      <c r="C211" s="7"/>
      <c r="D211" s="7"/>
      <c r="E211" s="7"/>
      <c r="F211" s="7"/>
      <c r="G211" s="7" t="s">
        <v>49</v>
      </c>
    </row>
    <row r="212" customFormat="false" ht="15" hidden="false" customHeight="true" outlineLevel="0" collapsed="false">
      <c r="A212" s="7" t="s">
        <v>335</v>
      </c>
      <c r="B212" s="7" t="s">
        <v>329</v>
      </c>
      <c r="C212" s="7"/>
      <c r="D212" s="7"/>
      <c r="E212" s="7"/>
      <c r="F212" s="7"/>
      <c r="G212" s="7" t="s">
        <v>49</v>
      </c>
    </row>
    <row r="213" customFormat="false" ht="15" hidden="false" customHeight="true" outlineLevel="0" collapsed="false">
      <c r="A213" s="7" t="s">
        <v>336</v>
      </c>
      <c r="B213" s="7" t="s">
        <v>329</v>
      </c>
      <c r="C213" s="7"/>
      <c r="D213" s="7"/>
      <c r="E213" s="7"/>
      <c r="F213" s="7"/>
      <c r="G213" s="7" t="s">
        <v>49</v>
      </c>
    </row>
    <row r="214" customFormat="false" ht="15" hidden="false" customHeight="true" outlineLevel="0" collapsed="false">
      <c r="A214" s="7" t="s">
        <v>337</v>
      </c>
      <c r="B214" s="7" t="s">
        <v>329</v>
      </c>
      <c r="C214" s="7"/>
      <c r="D214" s="7"/>
      <c r="E214" s="7"/>
      <c r="F214" s="7"/>
      <c r="G214" s="7" t="s">
        <v>49</v>
      </c>
    </row>
    <row r="215" customFormat="false" ht="15" hidden="false" customHeight="true" outlineLevel="0" collapsed="false">
      <c r="A215" s="7" t="s">
        <v>338</v>
      </c>
      <c r="B215" s="7" t="s">
        <v>329</v>
      </c>
      <c r="C215" s="7"/>
      <c r="D215" s="7"/>
      <c r="E215" s="7"/>
      <c r="F215" s="7"/>
      <c r="G215" s="7" t="s">
        <v>49</v>
      </c>
    </row>
    <row r="216" customFormat="false" ht="15" hidden="false" customHeight="true" outlineLevel="0" collapsed="false">
      <c r="A216" s="7" t="s">
        <v>339</v>
      </c>
      <c r="B216" s="7" t="s">
        <v>329</v>
      </c>
      <c r="C216" s="7"/>
      <c r="D216" s="7"/>
      <c r="E216" s="7"/>
      <c r="F216" s="7"/>
      <c r="G216" s="7" t="s">
        <v>49</v>
      </c>
    </row>
    <row r="217" customFormat="false" ht="15" hidden="false" customHeight="true" outlineLevel="0" collapsed="false">
      <c r="A217" s="7" t="s">
        <v>340</v>
      </c>
      <c r="B217" s="7" t="s">
        <v>329</v>
      </c>
      <c r="C217" s="7"/>
      <c r="D217" s="7"/>
      <c r="E217" s="7"/>
      <c r="F217" s="7"/>
      <c r="G217" s="7" t="s">
        <v>49</v>
      </c>
    </row>
    <row r="218" customFormat="false" ht="15" hidden="false" customHeight="true" outlineLevel="0" collapsed="false">
      <c r="A218" s="7" t="s">
        <v>341</v>
      </c>
      <c r="B218" s="7" t="s">
        <v>329</v>
      </c>
      <c r="C218" s="7"/>
      <c r="D218" s="7"/>
      <c r="E218" s="7"/>
      <c r="F218" s="7"/>
      <c r="G218" s="7" t="s">
        <v>49</v>
      </c>
    </row>
    <row r="219" customFormat="false" ht="15" hidden="false" customHeight="true" outlineLevel="0" collapsed="false">
      <c r="A219" s="7" t="s">
        <v>342</v>
      </c>
      <c r="B219" s="7" t="s">
        <v>329</v>
      </c>
      <c r="C219" s="7"/>
      <c r="D219" s="7"/>
      <c r="E219" s="7"/>
      <c r="F219" s="7"/>
      <c r="G219" s="7" t="s">
        <v>49</v>
      </c>
    </row>
    <row r="220" customFormat="false" ht="15" hidden="false" customHeight="true" outlineLevel="0" collapsed="false">
      <c r="A220" s="7" t="s">
        <v>343</v>
      </c>
      <c r="B220" s="7" t="s">
        <v>329</v>
      </c>
      <c r="C220" s="7"/>
      <c r="D220" s="7"/>
      <c r="E220" s="7"/>
      <c r="F220" s="7"/>
      <c r="G220" s="7" t="s">
        <v>49</v>
      </c>
    </row>
    <row r="221" customFormat="false" ht="15" hidden="false" customHeight="true" outlineLevel="0" collapsed="false">
      <c r="A221" s="7" t="s">
        <v>344</v>
      </c>
      <c r="B221" s="7" t="s">
        <v>329</v>
      </c>
      <c r="C221" s="7"/>
      <c r="D221" s="7"/>
      <c r="E221" s="7"/>
      <c r="F221" s="7"/>
      <c r="G221" s="7" t="s">
        <v>49</v>
      </c>
    </row>
  </sheetData>
  <autoFilter ref="A1:G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9"/>
    <col collapsed="false" customWidth="true" hidden="false" outlineLevel="0" max="2" min="2" style="1" width="13"/>
    <col collapsed="false" customWidth="true" hidden="false" outlineLevel="0" max="3" min="3" style="1" width="20"/>
    <col collapsed="false" customWidth="true" hidden="false" outlineLevel="0" max="4" min="4" style="1" width="34"/>
    <col collapsed="false" customWidth="true" hidden="false" outlineLevel="0" max="5" min="5" style="1" width="20"/>
    <col collapsed="false" customWidth="true" hidden="false" outlineLevel="0" max="6" min="6" style="1" width="21"/>
    <col collapsed="false" customWidth="true" hidden="false" outlineLevel="0" max="9" min="7" style="1" width="20"/>
    <col collapsed="false" customWidth="true" hidden="false" outlineLevel="0" max="10" min="10" style="1" width="33"/>
    <col collapsed="false" customWidth="true" hidden="false" outlineLevel="0" max="11" min="11" style="1" width="20"/>
  </cols>
  <sheetData>
    <row r="1" customFormat="false" ht="26.25" hidden="false" customHeight="true" outlineLevel="0" collapsed="false">
      <c r="A1" s="10" t="s">
        <v>345</v>
      </c>
      <c r="B1" s="10" t="s">
        <v>346</v>
      </c>
      <c r="C1" s="10" t="s">
        <v>347</v>
      </c>
      <c r="D1" s="10" t="s">
        <v>348</v>
      </c>
      <c r="E1" s="10" t="s">
        <v>349</v>
      </c>
      <c r="F1" s="10" t="s">
        <v>350</v>
      </c>
      <c r="G1" s="10" t="s">
        <v>351</v>
      </c>
      <c r="H1" s="10" t="s">
        <v>352</v>
      </c>
      <c r="I1" s="10" t="s">
        <v>353</v>
      </c>
      <c r="J1" s="10" t="s">
        <v>354</v>
      </c>
      <c r="K1" s="10" t="s">
        <v>350</v>
      </c>
    </row>
    <row r="2" customFormat="false" ht="15" hidden="false" customHeight="true" outlineLevel="0" collapsed="false">
      <c r="A2" s="7" t="s">
        <v>355</v>
      </c>
      <c r="B2" s="7" t="n">
        <v>384</v>
      </c>
      <c r="C2" s="15" t="n">
        <v>0.0448058632739088</v>
      </c>
      <c r="D2" s="15" t="n">
        <v>0.0594682153829104</v>
      </c>
      <c r="E2" s="15" t="n">
        <v>0.158589857878013</v>
      </c>
      <c r="F2" s="15" t="n">
        <v>-0.0004886488204119</v>
      </c>
      <c r="G2" s="15" t="n">
        <v>0.0496212221105163</v>
      </c>
      <c r="H2" s="15" t="n">
        <v>0.141838263307092</v>
      </c>
      <c r="I2" s="15" t="n">
        <v>0.222789546726747</v>
      </c>
      <c r="J2" s="15" t="n">
        <v>0.0458433986164421</v>
      </c>
      <c r="K2" s="15" t="n">
        <v>0.0014496570592752</v>
      </c>
    </row>
    <row r="3" customFormat="false" ht="15" hidden="false" customHeight="true" outlineLevel="0" collapsed="false">
      <c r="A3" s="7" t="s">
        <v>356</v>
      </c>
      <c r="B3" s="7" t="n">
        <v>384</v>
      </c>
      <c r="C3" s="15" t="n">
        <v>0.0375635147972278</v>
      </c>
      <c r="D3" s="15" t="n">
        <v>0.0505472310830568</v>
      </c>
      <c r="E3" s="15" t="n">
        <v>0.154461406212436</v>
      </c>
      <c r="F3" s="15" t="n">
        <v>-0.0031304518831709</v>
      </c>
      <c r="G3" s="15" t="n">
        <v>0.0402215175233124</v>
      </c>
      <c r="H3" s="15" t="n">
        <v>0.109258551824915</v>
      </c>
      <c r="I3" s="15" t="n">
        <v>0.178683955478615</v>
      </c>
      <c r="J3" s="15" t="n">
        <v>0.0478735474285459</v>
      </c>
      <c r="K3" s="15" t="n">
        <v>0.0191715142745376</v>
      </c>
    </row>
    <row r="4" customFormat="false" ht="15" hidden="false" customHeight="true" outlineLevel="0" collapsed="false">
      <c r="A4" s="7" t="s">
        <v>357</v>
      </c>
      <c r="B4" s="7" t="n">
        <v>384</v>
      </c>
      <c r="C4" s="15" t="n">
        <v>0.036622995439482</v>
      </c>
      <c r="D4" s="15" t="n">
        <v>0.0635628616991511</v>
      </c>
      <c r="E4" s="15" t="n">
        <v>0.145201130019568</v>
      </c>
      <c r="F4" s="15" t="n">
        <v>0.004378689965883</v>
      </c>
      <c r="G4" s="15" t="n">
        <v>0.0440646422067236</v>
      </c>
      <c r="H4" s="15" t="n">
        <v>0.101994833383493</v>
      </c>
      <c r="I4" s="15" t="n">
        <v>0.206095139727043</v>
      </c>
      <c r="J4" s="15" t="n">
        <v>0.0463371300440907</v>
      </c>
      <c r="K4" s="15" t="n">
        <v>0.0154204709087741</v>
      </c>
    </row>
    <row r="5" customFormat="false" ht="15" hidden="false" customHeight="true" outlineLevel="0" collapsed="false">
      <c r="A5" s="7" t="s">
        <v>358</v>
      </c>
      <c r="B5" s="7" t="n">
        <v>384</v>
      </c>
      <c r="C5" s="15" t="n">
        <v>0.0296311418917322</v>
      </c>
      <c r="D5" s="15" t="n">
        <v>0.0488674541673366</v>
      </c>
      <c r="E5" s="15" t="n">
        <v>0.138318084077438</v>
      </c>
      <c r="F5" s="15" t="n">
        <v>0.0052182403429745</v>
      </c>
      <c r="G5" s="15" t="n">
        <v>0.0334187899262821</v>
      </c>
      <c r="H5" s="15" t="n">
        <v>0.104884185888809</v>
      </c>
      <c r="I5" s="15" t="n">
        <v>0.183496302578697</v>
      </c>
      <c r="J5" s="15" t="n">
        <v>0.0364028555004223</v>
      </c>
      <c r="K5" s="15" t="n">
        <v>0.0210641567219287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2026-10-29T05:20:56Z</dcterms:created>
  <dc:creator>openpyxl</dc:creator>
  <dc:description/>
  <dc:language>en-US</dc:language>
  <cp:lastModifiedBy/>
  <dcterms:modified xsi:type="dcterms:W3CDTF">2026-10-29T05:21:07Z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