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Site-months" sheetId="2" state="visible" r:id="rId4"/>
    <sheet name="Excluded months" sheetId="3" state="visible" r:id="rId5"/>
    <sheet name="Site summary" sheetId="4" state="visible" r:id="rId6"/>
    <sheet name="Fleet by month" sheetId="5" state="visible" r:id="rId7"/>
  </sheets>
  <definedNames>
    <definedName function="false" hidden="true" localSheetId="3" name="_xlnm._FilterDatabase" vbProcedure="false">'Site summary'!$A$1:$K$38</definedName>
    <definedName function="false" hidden="true" localSheetId="1" name="_xlnm._FilterDatabase" vbProcedure="false">'Site-months'!$A$1:$U$512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<sst xmlns="http://schemas.openxmlformats.org/spreadsheetml/2006/main" count="4019" uniqueCount="393">
  <si>
    <t xml:space="preserve">Model vs actual, every site, every month with a month-end report</t>
  </si>
  <si>
    <t xml:space="preserve">Site-months</t>
  </si>
  <si>
    <t xml:space="preserve">Sites</t>
  </si>
  <si>
    <t xml:space="preserve">Monthly L/kWh error, median of |error|</t>
  </si>
  <si>
    <t xml:space="preserve">Monthly L/kWh error, 90th percentile of |error|</t>
  </si>
  <si>
    <t xml:space="preserve">Share of months within ±10%</t>
  </si>
  <si>
    <t xml:space="preserve">Bias (median error, + = model high)</t>
  </si>
  <si>
    <t xml:space="preserve">Fleet fuel, actual (L)</t>
  </si>
  <si>
    <t xml:space="preserve">Fleet fuel, model (L)</t>
  </si>
  <si>
    <t xml:space="preserve">Fleet fuel error</t>
  </si>
  <si>
    <t xml:space="preserve">How to read</t>
  </si>
  <si>
    <t xml:space="preserve">Each site-month was simulated from the site's hourly generator demand (unit counters, scaled to the month-end DG kWh so the kWh basis is the site meter).</t>
  </si>
  <si>
    <t xml:space="preserve">The PMS start/stop settings come from the site's own 1-minute data for that quarter (pms_source = quarter), else the site median, else a default by site type.</t>
  </si>
  <si>
    <t xml:space="preserve">Fuel per unit comes from the engine-family curves fitted with THAT SITE LEFT OUT, so every number is an out-of-sample prediction.</t>
  </si>
  <si>
    <t xml:space="preserve">"Curves on actual running" applies the same curves to what the units really did; the gap between it and the model is the dispatch model's own error.</t>
  </si>
  <si>
    <t xml:space="preserve">Actual = month-end Hybrid Performance Report fuel and DG kWh. Months with fewer than 20 days of hourly data, or where the report DG differs from the portal meter by more than 20% (site changes, partial billing months), are listed on the Excluded months tab and left out of the statistics.</t>
  </si>
  <si>
    <t xml:space="preserve">Site</t>
  </si>
  <si>
    <t xml:space="preserve">Month</t>
  </si>
  <si>
    <t xml:space="preserve">Country</t>
  </si>
  <si>
    <t xml:space="preserve">Type</t>
  </si>
  <si>
    <t xml:space="preserve">Days of hourly data</t>
  </si>
  <si>
    <t xml:space="preserve">Fleet (kVA)</t>
  </si>
  <si>
    <t xml:space="preserve">Engine families</t>
  </si>
  <si>
    <t xml:space="preserve">Actual fuel (L)</t>
  </si>
  <si>
    <t xml:space="preserve">Actual DG kWh</t>
  </si>
  <si>
    <t xml:space="preserve">Actual L/kWh</t>
  </si>
  <si>
    <t xml:space="preserve">Solar share of load</t>
  </si>
  <si>
    <t xml:space="preserve">Model fuel (L)</t>
  </si>
  <si>
    <t xml:space="preserve">Model L/kWh</t>
  </si>
  <si>
    <t xml:space="preserve">Curves on actual running (L)</t>
  </si>
  <si>
    <t xml:space="preserve">PMS start</t>
  </si>
  <si>
    <t xml:space="preserve">PMS stop</t>
  </si>
  <si>
    <t xml:space="preserve">Model error</t>
  </si>
  <si>
    <t xml:space="preserve">|Model error|</t>
  </si>
  <si>
    <t xml:space="preserve">PMS setting source</t>
  </si>
  <si>
    <t xml:space="preserve">Sim mean loading</t>
  </si>
  <si>
    <t xml:space="preserve">Site-meter ratio (report DG / unit counters)</t>
  </si>
  <si>
    <t xml:space="preserve">KSA - ARAMCO PMT - C</t>
  </si>
  <si>
    <t xml:space="preserve">2025-01</t>
  </si>
  <si>
    <t xml:space="preserve">KSA</t>
  </si>
  <si>
    <t xml:space="preserve">C</t>
  </si>
  <si>
    <t xml:space="preserve">500 + 500 + 300</t>
  </si>
  <si>
    <t xml:space="preserve">JD 6090 (300 kVA), Volvo TAD1651 (500 kVA)</t>
  </si>
  <si>
    <t xml:space="preserve">quarter</t>
  </si>
  <si>
    <t xml:space="preserve">2025-02</t>
  </si>
  <si>
    <t xml:space="preserve">500 + 300 + 500 + 500 + 500</t>
  </si>
  <si>
    <t xml:space="preserve">2025-03</t>
  </si>
  <si>
    <t xml:space="preserve">300 + 500 + 500 + 500</t>
  </si>
  <si>
    <t xml:space="preserve">2025-04</t>
  </si>
  <si>
    <t xml:space="preserve">500 + 300 + 500 + 500</t>
  </si>
  <si>
    <t xml:space="preserve">2025-06</t>
  </si>
  <si>
    <t xml:space="preserve">500 + 500 + 500 + 300</t>
  </si>
  <si>
    <t xml:space="preserve">2025-07</t>
  </si>
  <si>
    <t xml:space="preserve">2025-08</t>
  </si>
  <si>
    <t xml:space="preserve">2025-09</t>
  </si>
  <si>
    <t xml:space="preserve">500 + 500 + 500 + 500</t>
  </si>
  <si>
    <t xml:space="preserve">Volvo TAD1651 (500 kVA)</t>
  </si>
  <si>
    <t xml:space="preserve">2025-10</t>
  </si>
  <si>
    <t xml:space="preserve">2025-11</t>
  </si>
  <si>
    <t xml:space="preserve">2025-12</t>
  </si>
  <si>
    <t xml:space="preserve">2026-01</t>
  </si>
  <si>
    <t xml:space="preserve">2026-02</t>
  </si>
  <si>
    <t xml:space="preserve">2026-03</t>
  </si>
  <si>
    <t xml:space="preserve">2026-04</t>
  </si>
  <si>
    <t xml:space="preserve">2026-05</t>
  </si>
  <si>
    <t xml:space="preserve">2026-06</t>
  </si>
  <si>
    <t xml:space="preserve">2026-07</t>
  </si>
  <si>
    <t xml:space="preserve">2026-08</t>
  </si>
  <si>
    <t xml:space="preserve">2026-09</t>
  </si>
  <si>
    <t xml:space="preserve">KSA - ARCC (H) - C</t>
  </si>
  <si>
    <t xml:space="preserve">1250 + 1250 + 300 + 300</t>
  </si>
  <si>
    <t xml:space="preserve">Cummins KTA50 (1250 kVA), JD 6090 (300 kVA)</t>
  </si>
  <si>
    <t xml:space="preserve">1250 + 300 + 300 + 500 + 1250 + 500</t>
  </si>
  <si>
    <t xml:space="preserve">Cummins KTA50 (1250 kVA), JD 6090 (300 kVA), Volvo TAD1651 (500 kVA)</t>
  </si>
  <si>
    <t xml:space="preserve">500 + 500 + 1250</t>
  </si>
  <si>
    <t xml:space="preserve">Cummins KTA50 (1250 kVA), Volvo TAD1651 (500 kVA)</t>
  </si>
  <si>
    <t xml:space="preserve">2025-05</t>
  </si>
  <si>
    <t xml:space="preserve">1250 + 500 + 1250</t>
  </si>
  <si>
    <t xml:space="preserve">1250 + 500</t>
  </si>
  <si>
    <t xml:space="preserve">500 + 1250</t>
  </si>
  <si>
    <t xml:space="preserve">KSA - AYTB Harad - C</t>
  </si>
  <si>
    <t xml:space="preserve">300 + 300 + 500 + 500 + 500</t>
  </si>
  <si>
    <t xml:space="preserve">500 + 300 + 500</t>
  </si>
  <si>
    <t xml:space="preserve">JD 6090 (300 kVA), Volvo TAD1651 (500 kVA), unlisted 500 kVA</t>
  </si>
  <si>
    <t xml:space="preserve">500 + 500 + 500</t>
  </si>
  <si>
    <t xml:space="preserve">Volvo TAD1651 (500 kVA), unlisted 500 kVA</t>
  </si>
  <si>
    <t xml:space="preserve">Volvo TAD1651 (500 kVA), unlisted 300 kVA, unlisted 500 kVA</t>
  </si>
  <si>
    <t xml:space="preserve">300 + 500 + 500</t>
  </si>
  <si>
    <t xml:space="preserve">Volvo TAD1651 (500 kVA), unlisted 300 kVA</t>
  </si>
  <si>
    <t xml:space="preserve">300 + 300 + 500 + 500</t>
  </si>
  <si>
    <t xml:space="preserve">KSA - AYTB Jubail - C</t>
  </si>
  <si>
    <t xml:space="preserve">1000 + 1250</t>
  </si>
  <si>
    <t xml:space="preserve">Cummins KTA50 (1250 kVA), Cummins QST30 (1000 kVA)</t>
  </si>
  <si>
    <t xml:space="preserve">1250 + 1000</t>
  </si>
  <si>
    <t xml:space="preserve">1000 + 1250 + 1250</t>
  </si>
  <si>
    <t xml:space="preserve">1250 + 1000 + 1250</t>
  </si>
  <si>
    <t xml:space="preserve">500 + 1250 + 1000 + 500 + 1250</t>
  </si>
  <si>
    <t xml:space="preserve">Cummins KTA50 (1250 kVA), Cummins QST30 (1000 kVA), unlisted 500 kVA</t>
  </si>
  <si>
    <t xml:space="preserve">500 + 1250 + 1250</t>
  </si>
  <si>
    <t xml:space="preserve">Cummins KTA50 (1250 kVA), unlisted 500 kVA</t>
  </si>
  <si>
    <t xml:space="preserve">1250 + 500 + 1250 + 1250 + 1250</t>
  </si>
  <si>
    <t xml:space="preserve">500 + 1250 + 1250 + 500</t>
  </si>
  <si>
    <t xml:space="preserve">500 + 500 + 1250 + 1250</t>
  </si>
  <si>
    <t xml:space="preserve">1250 + 500 + 500 + 1250</t>
  </si>
  <si>
    <t xml:space="preserve">500 + 1250 + 500 + 1250 + 500</t>
  </si>
  <si>
    <t xml:space="preserve">KSA - Afnan - C</t>
  </si>
  <si>
    <t xml:space="preserve">500 + 500 + 300 + 220</t>
  </si>
  <si>
    <t xml:space="preserve">JD 6068 (220 kVA), Volvo TAD1651 (500 kVA), unlisted 300 kVA</t>
  </si>
  <si>
    <t xml:space="preserve">300 + 220 + 500</t>
  </si>
  <si>
    <t xml:space="preserve">300 + 500 + 220</t>
  </si>
  <si>
    <t xml:space="preserve">300 + 500 + 500 + 220</t>
  </si>
  <si>
    <t xml:space="preserve">KSA - Crystal Rabigh - C</t>
  </si>
  <si>
    <t xml:space="preserve">500 + 500 + 500 + 300 + 1000</t>
  </si>
  <si>
    <t xml:space="preserve">Cummins QST30 (1000 kVA), JD 6090 (300 kVA), Volvo TAD1651 (500 kVA)</t>
  </si>
  <si>
    <t xml:space="preserve">500 + 1250 + 1000 + 500</t>
  </si>
  <si>
    <t xml:space="preserve">Cummins KTA50 (1250 kVA), Cummins QST30 (1000 kVA), Volvo TAD1651 (500 kVA)</t>
  </si>
  <si>
    <t xml:space="preserve">1000 + 500 + 1250</t>
  </si>
  <si>
    <t xml:space="preserve">KSA - Fame Fardani - C</t>
  </si>
  <si>
    <t xml:space="preserve">Cummins KTA50 (1250 kVA), Volvo TAD1651 (500 kVA), unlisted 500 kVA</t>
  </si>
  <si>
    <t xml:space="preserve">500 + 500 + 1250 + 1250 + 1250 + 1250</t>
  </si>
  <si>
    <t xml:space="preserve">1250 + 500 + 500 + 1250 + 1250 + 1250</t>
  </si>
  <si>
    <t xml:space="preserve">500 + 1250 + 500 + 1250 + 1250</t>
  </si>
  <si>
    <t xml:space="preserve">KSA - Formula Arabia - C</t>
  </si>
  <si>
    <t xml:space="preserve">Cummins QSX15 (500 kVA), Volvo TAD1651 (500 kVA)</t>
  </si>
  <si>
    <t xml:space="preserve">500 + 500 + 500 + 300 + 300 + 300</t>
  </si>
  <si>
    <t xml:space="preserve">Cummins QSX15 (500 kVA), JD 6090 (300 kVA), Volvo TAD1651 (500 kVA)</t>
  </si>
  <si>
    <t xml:space="preserve">500 + 500 + 300 + 300 + 300</t>
  </si>
  <si>
    <t xml:space="preserve">KSA - KENT - C</t>
  </si>
  <si>
    <t xml:space="preserve">500 + 500 + 500 + 500 + 500 + 500</t>
  </si>
  <si>
    <t xml:space="preserve">Scania DC13 (500 kVA)</t>
  </si>
  <si>
    <t xml:space="preserve">500 + 500 + 500 + 500 + 500</t>
  </si>
  <si>
    <t xml:space="preserve">KSA - MBL Camp - C</t>
  </si>
  <si>
    <t xml:space="preserve">220 + 500 + 500</t>
  </si>
  <si>
    <t xml:space="preserve">Cummins QSX15 (500 kVA), JD 6068 (220 kVA), Volvo TAD1651 (500 kVA)</t>
  </si>
  <si>
    <t xml:space="preserve">300 + 220 + 500 + 500</t>
  </si>
  <si>
    <t xml:space="preserve">Cummins QSX15 (500 kVA), JD 6068 (220 kVA), JD 6090 (300 kVA), Volvo TAD1651 (500 kVA)</t>
  </si>
  <si>
    <t xml:space="preserve">220 + 300 + 500</t>
  </si>
  <si>
    <t xml:space="preserve">Cummins QSX15 (500 kVA), JD 6068 (220 kVA), JD 6090 (300 kVA)</t>
  </si>
  <si>
    <t xml:space="preserve">220 + 300 + 500 + 300</t>
  </si>
  <si>
    <t xml:space="preserve">KSA - MBL JCD Opera - S</t>
  </si>
  <si>
    <t xml:space="preserve">S</t>
  </si>
  <si>
    <t xml:space="preserve">125 + 125 + 220 + 300 + 220 + 300</t>
  </si>
  <si>
    <t xml:space="preserve">JCB 448 (125 kVA), JD 6068 (220 kVA), JD 6090 (300 kVA)</t>
  </si>
  <si>
    <t xml:space="preserve">125 + 125 + 220 + 300</t>
  </si>
  <si>
    <t xml:space="preserve">125 + 125 + 220 + 125 + 300</t>
  </si>
  <si>
    <t xml:space="preserve">125 + 125 + 300 + 220</t>
  </si>
  <si>
    <t xml:space="preserve">site</t>
  </si>
  <si>
    <t xml:space="preserve">125 + 125 + 220 + 220 + 300 + 125 + 220</t>
  </si>
  <si>
    <t xml:space="preserve">220 + 220 + 300</t>
  </si>
  <si>
    <t xml:space="preserve">JD 6068 (220 kVA), JD 6090 (300 kVA)</t>
  </si>
  <si>
    <t xml:space="preserve">220 + 300 + 220</t>
  </si>
  <si>
    <t xml:space="preserve">KSA - MBL Oceanarium - S</t>
  </si>
  <si>
    <t xml:space="preserve">220 + 300</t>
  </si>
  <si>
    <t xml:space="preserve">220 + 125 + 125 + 300</t>
  </si>
  <si>
    <t xml:space="preserve">125 + 125 + 220</t>
  </si>
  <si>
    <t xml:space="preserve">JCB 448 (125 kVA), JD 6068 (220 kVA)</t>
  </si>
  <si>
    <t xml:space="preserve">125 + 125 + 125 + 220</t>
  </si>
  <si>
    <t xml:space="preserve">KSA - MBL Opera - S</t>
  </si>
  <si>
    <t xml:space="preserve">125 + 125 + 125</t>
  </si>
  <si>
    <t xml:space="preserve">JCB 448 (125 kVA)</t>
  </si>
  <si>
    <t xml:space="preserve">125 + 125 + 125 + 125</t>
  </si>
  <si>
    <t xml:space="preserve">JCB 448 (125 kVA), unlisted ≤125 kVA</t>
  </si>
  <si>
    <t xml:space="preserve">KSA - Namareq KAEC - C</t>
  </si>
  <si>
    <t xml:space="preserve">1250 + 1250 + 1250 + 1250</t>
  </si>
  <si>
    <t xml:space="preserve">Cummins KTA50 (1250 kVA)</t>
  </si>
  <si>
    <t xml:space="preserve">1250 + 1250 + 1250 + 1250 + 1250</t>
  </si>
  <si>
    <t xml:space="preserve">1250 + 1250 + 1250</t>
  </si>
  <si>
    <t xml:space="preserve">1250 + 1250 + 1250 + 1125</t>
  </si>
  <si>
    <t xml:space="preserve">Cummins KTA50 (1250 kVA), unlisted 1000–1250 kVA</t>
  </si>
  <si>
    <t xml:space="preserve">1250 + 1125 + 1250 + 1250</t>
  </si>
  <si>
    <t xml:space="preserve">KSA - Namariq Jizan - C</t>
  </si>
  <si>
    <t xml:space="preserve">1000 + 1000 + 1000 + 500 + 500 + 1000 + 500 + 500 + 500 + 500 + 1000 + 500 + 500 + 500 + 500</t>
  </si>
  <si>
    <t xml:space="preserve">Cummins QST30 (1000 kVA), Cummins QSX15 (500 kVA), Volvo TAD1651 (500 kVA)</t>
  </si>
  <si>
    <t xml:space="preserve">1000 + 1000 + 1000 + 1000 + 500 + 1000 + 500 + 500 + 500 + 500 + 500 + 500 + 500 + 500</t>
  </si>
  <si>
    <t xml:space="preserve">1000 + 1000 + 1000 + 500 + 1000 + 500 + 500 + 500 + 500 + 500 + 500 + 500 + 500</t>
  </si>
  <si>
    <t xml:space="preserve">1000 + 500 + 1000 + 1000 + 500 + 500 + 500 + 1000 + 500 + 500 + 500 + 1000 + 500 + 500 + 500</t>
  </si>
  <si>
    <t xml:space="preserve">500 + 500 + 500 + 500 + 500 + 500 + 500 + 500 + 500 + 1000 + 1000 + 1000 + 1000</t>
  </si>
  <si>
    <t xml:space="preserve">500 + 500 + 500 + 500 + 500 + 500 + 500 + 1000 + 500 + 500 + 1000 + 1000 + 1000</t>
  </si>
  <si>
    <t xml:space="preserve">500 + 500 + 500 + 500 + 500 + 500 + 500 + 1000 + 500 + 1000 + 1000 + 1000 + 500</t>
  </si>
  <si>
    <t xml:space="preserve">500 + 1000 + 1000 + 500 + 500 + 500 + 500 + 500 + 500 + 500 + 1000 + 1000 + 500</t>
  </si>
  <si>
    <t xml:space="preserve">1000 + 1000 + 500 + 500 + 500 + 500 + 500 + 500 + 500 + 500 + 1000 + 1000 + 500</t>
  </si>
  <si>
    <t xml:space="preserve">1000 + 1000 + 500 + 500 + 500 + 500 + 500 + 1000 + 500 + 500 + 500 + 500 + 1000 + 500</t>
  </si>
  <si>
    <t xml:space="preserve">500 + 1000 + 500 + 500 + 1000 + 500 + 500 + 1000 + 500 + 500 + 500 + 500 + 1000 + 500</t>
  </si>
  <si>
    <t xml:space="preserve">Cummins QST30 (1000 kVA), Cummins QSX15 (500 kVA), Volvo TAD1651 (500 kVA), unlisted 500 kVA</t>
  </si>
  <si>
    <t xml:space="preserve">500 + 500 + 1000 + 500 + 1000 + 500 + 500 + 500 + 1000 + 500 + 500 + 500 + 1000</t>
  </si>
  <si>
    <t xml:space="preserve">KSA - Ramz Al Akhwa - C</t>
  </si>
  <si>
    <t xml:space="preserve">unlisted 500 kVA</t>
  </si>
  <si>
    <t xml:space="preserve">500 + 500</t>
  </si>
  <si>
    <t xml:space="preserve">300 + 500 + 500 + 300</t>
  </si>
  <si>
    <t xml:space="preserve">JD 6090 (300 kVA), unlisted 500 kVA</t>
  </si>
  <si>
    <t xml:space="preserve">300 + 300</t>
  </si>
  <si>
    <t xml:space="preserve">JD 6090 (300 kVA)</t>
  </si>
  <si>
    <t xml:space="preserve">KSA - Sprint - I</t>
  </si>
  <si>
    <t xml:space="preserve">I</t>
  </si>
  <si>
    <t xml:space="preserve">125 + 125 + 60</t>
  </si>
  <si>
    <t xml:space="preserve">unlisted ≤125 kVA</t>
  </si>
  <si>
    <t xml:space="preserve">60 + 125</t>
  </si>
  <si>
    <t xml:space="preserve">60 + 125 + 125</t>
  </si>
  <si>
    <t xml:space="preserve">125 + 125</t>
  </si>
  <si>
    <t xml:space="preserve">UAE - AL Saida Fujeirah - C</t>
  </si>
  <si>
    <t xml:space="preserve">UAE</t>
  </si>
  <si>
    <t xml:space="preserve">125 + 250</t>
  </si>
  <si>
    <t xml:space="preserve">Cummins QSL9 (250–300 kVA), JCB 448 (125 kVA)</t>
  </si>
  <si>
    <t xml:space="preserve">UAE - Al Dar - S</t>
  </si>
  <si>
    <t xml:space="preserve">125 + 350 + 300</t>
  </si>
  <si>
    <t xml:space="preserve">Cummins QSG12 (350 kVA), JCB 448 (125 kVA), JD 6090 (300 kVA)</t>
  </si>
  <si>
    <t xml:space="preserve">250 + 125 + 300 + 220</t>
  </si>
  <si>
    <t xml:space="preserve">Cummins QSL9 (250–300 kVA), JCB 448 (125 kVA), JD 6068 (220 kVA), JD 6090 (300 kVA)</t>
  </si>
  <si>
    <t xml:space="preserve">300 + 220 + 125</t>
  </si>
  <si>
    <t xml:space="preserve">220 + 250 + 125 + 300</t>
  </si>
  <si>
    <t xml:space="preserve">250 + 220 + 125</t>
  </si>
  <si>
    <t xml:space="preserve">Cummins QSL9 (250–300 kVA), JCB 448 (125 kVA), JD 6068 (220 kVA)</t>
  </si>
  <si>
    <t xml:space="preserve">250 + 125 + 220</t>
  </si>
  <si>
    <t xml:space="preserve">220 + 220 + 125</t>
  </si>
  <si>
    <t xml:space="preserve">JCB 448 (125 kVA), JD 6068 (220 kVA), unlisted 200–220 kVA</t>
  </si>
  <si>
    <t xml:space="preserve">250 + 220 + 220 + 125</t>
  </si>
  <si>
    <t xml:space="preserve">Cummins QSL9 (250–300 kVA), JCB 448 (125 kVA), JD 6068 (220 kVA), unlisted 200–220 kVA</t>
  </si>
  <si>
    <t xml:space="preserve">250 + 220 + 220</t>
  </si>
  <si>
    <t xml:space="preserve">Cummins QSL9 (250–300 kVA), JD 6068 (220 kVA), unlisted 200–220 kVA</t>
  </si>
  <si>
    <t xml:space="preserve">220 + 220 + 250</t>
  </si>
  <si>
    <t xml:space="preserve">300 + 220 + 220 + 250</t>
  </si>
  <si>
    <t xml:space="preserve">UAE - Arabian Industries - C</t>
  </si>
  <si>
    <t xml:space="preserve">500 + 800 + 350 + 500</t>
  </si>
  <si>
    <t xml:space="preserve">Cummins QSG12 (350 kVA), Cummins QSK23 (800 kVA), Volvo TAD1651 (500 kVA), unlisted 500 kVA</t>
  </si>
  <si>
    <t xml:space="preserve">500 + 350 + 800</t>
  </si>
  <si>
    <t xml:space="preserve">Cummins QSG12 (350 kVA), Cummins QSK23 (800 kVA), unlisted 500 kVA</t>
  </si>
  <si>
    <t xml:space="preserve">500 + 800 + 350</t>
  </si>
  <si>
    <t xml:space="preserve">350 + 800 + 500</t>
  </si>
  <si>
    <t xml:space="preserve">350 + 500 + 800</t>
  </si>
  <si>
    <t xml:space="preserve">350 + 300 + 500 + 800 + 500 + 500</t>
  </si>
  <si>
    <t xml:space="preserve">Cummins QSG12 (350 kVA), Cummins QSK23 (800 kVA), JD 6090 (300 kVA), Volvo TAD1651 (500 kVA), unlisted 500 kVA</t>
  </si>
  <si>
    <t xml:space="preserve">500 + 350 + 500 + 300</t>
  </si>
  <si>
    <t xml:space="preserve">Cummins QSG12 (350 kVA), JD 6090 (300 kVA), Volvo TAD1651 (500 kVA), unlisted 500 kVA</t>
  </si>
  <si>
    <t xml:space="preserve">350 + 500 + 500</t>
  </si>
  <si>
    <t xml:space="preserve">Cummins QSG12 (350 kVA), Volvo TAD1651 (500 kVA), unlisted 500 kVA</t>
  </si>
  <si>
    <t xml:space="preserve">500 + 350 + 500</t>
  </si>
  <si>
    <t xml:space="preserve">UAE - EAST VILLE Fujeirah - C</t>
  </si>
  <si>
    <t xml:space="preserve">800 + 300 + 1000</t>
  </si>
  <si>
    <t xml:space="preserve">Cummins QSK23 (800 kVA), Cummins QST30 (1000 kVA), JD 6090 (300 kVA)</t>
  </si>
  <si>
    <t xml:space="preserve">800 + 1000 + 300</t>
  </si>
  <si>
    <t xml:space="preserve">1000 + 800 + 300</t>
  </si>
  <si>
    <t xml:space="preserve">800 + 350 + 1000 + 300</t>
  </si>
  <si>
    <t xml:space="preserve">Cummins QSG12 (350 kVA), Cummins QSK23 (800 kVA), Cummins QST30 (1000 kVA), JD 6090 (300 kVA)</t>
  </si>
  <si>
    <t xml:space="preserve">350 + 800 + 1000</t>
  </si>
  <si>
    <t xml:space="preserve">Cummins QSG12 (350 kVA), Cummins QSK23 (800 kVA), Cummins QST30 (1000 kVA)</t>
  </si>
  <si>
    <t xml:space="preserve">800 + 350 + 1000</t>
  </si>
  <si>
    <t xml:space="preserve">800 + 500 + 350 + 1000</t>
  </si>
  <si>
    <t xml:space="preserve">Cummins QSG12 (350 kVA), Cummins QSK23 (800 kVA), Cummins QST30 (1000 kVA), Volvo TAD1651 (500 kVA)</t>
  </si>
  <si>
    <t xml:space="preserve">500 + 800 + 1000</t>
  </si>
  <si>
    <t xml:space="preserve">Cummins QSK23 (800 kVA), Cummins QST30 (1000 kVA), Volvo TAD1651 (500 kVA)</t>
  </si>
  <si>
    <t xml:space="preserve">500 + 1000 + 800</t>
  </si>
  <si>
    <t xml:space="preserve">800 + 1000 + 1250 + 500</t>
  </si>
  <si>
    <t xml:space="preserve">Cummins KTA50 (1250 kVA), Cummins QSK23 (800 kVA), Cummins QST30 (1000 kVA), Volvo TAD1651 (500 kVA)</t>
  </si>
  <si>
    <t xml:space="preserve">1250 + 800 + 1000</t>
  </si>
  <si>
    <t xml:space="preserve">Cummins KTA50 (1250 kVA), Cummins QSK23 (800 kVA), Cummins QST30 (1000 kVA)</t>
  </si>
  <si>
    <t xml:space="preserve">1250 + 800</t>
  </si>
  <si>
    <t xml:space="preserve">Cummins KTA50 (1250 kVA), Cummins QSK23 (800 kVA)</t>
  </si>
  <si>
    <t xml:space="preserve">UAE - EAST VILLE Hubshan - C</t>
  </si>
  <si>
    <t xml:space="preserve">1250 + 800 + 1000 + 1000 + 500</t>
  </si>
  <si>
    <t xml:space="preserve">1250 + 1000 + 800 + 1000</t>
  </si>
  <si>
    <t xml:space="preserve">1000 + 800 + 1000 + 1250</t>
  </si>
  <si>
    <t xml:space="preserve">1000 + 800 + 1250 + 1000</t>
  </si>
  <si>
    <t xml:space="preserve">1250 + 800 + 1000 + 1000</t>
  </si>
  <si>
    <t xml:space="preserve">1250 + 800 + 1000 + 1250 + 1000</t>
  </si>
  <si>
    <t xml:space="preserve">1250 + 1250 + 800 + 1000 + 1000</t>
  </si>
  <si>
    <t xml:space="preserve">1250 + 800 + 1250 + 1000 + 1000</t>
  </si>
  <si>
    <t xml:space="preserve">UAE - ENATA - I</t>
  </si>
  <si>
    <t xml:space="preserve">500 + 500 + 300 + 60</t>
  </si>
  <si>
    <t xml:space="preserve">JCB 448 (60 kVA), JD 6090 (300 kVA), Volvo TAD1651 (500 kVA)</t>
  </si>
  <si>
    <t xml:space="preserve">UAE - Galfar - C</t>
  </si>
  <si>
    <t xml:space="preserve">800 + 800 + 800</t>
  </si>
  <si>
    <t xml:space="preserve">Cummins QSK23 (800 kVA)</t>
  </si>
  <si>
    <t xml:space="preserve">800 + 800 + 800 + 1000</t>
  </si>
  <si>
    <t xml:space="preserve">Cummins QSK23 (800 kVA), Cummins QST30 (1000 kVA)</t>
  </si>
  <si>
    <t xml:space="preserve">800 + 800 + 1000 + 800 + 1000 + 800 + 800</t>
  </si>
  <si>
    <t xml:space="preserve">800 + 800 + 800 + 1000 + 500</t>
  </si>
  <si>
    <t xml:space="preserve">Cummins QSK23 (800 kVA), Cummins QST30 (1000 kVA), Cummins QSX15 (500 kVA)</t>
  </si>
  <si>
    <t xml:space="preserve">800 + 800 + 800 + 500 + 1000</t>
  </si>
  <si>
    <t xml:space="preserve">800 + 800 + 800 + 800 + 800 + 1000 + 500</t>
  </si>
  <si>
    <t xml:space="preserve">800 + 800 + 800 + 800 + 1000</t>
  </si>
  <si>
    <t xml:space="preserve">UAE - Innovo Build - S</t>
  </si>
  <si>
    <t xml:space="preserve">125 + 350 + 125</t>
  </si>
  <si>
    <t xml:space="preserve">Cummins QSG12 (350 kVA), JCB 448 (125 kVA)</t>
  </si>
  <si>
    <t xml:space="preserve">125 + 250 + 350</t>
  </si>
  <si>
    <t xml:space="preserve">Cummins QSG12 (350 kVA), Cummins QSL9 (250–300 kVA), JCB 448 (125 kVA)</t>
  </si>
  <si>
    <t xml:space="preserve">350 + 125 + 250</t>
  </si>
  <si>
    <t xml:space="preserve">350 + 125 + 250 + 350</t>
  </si>
  <si>
    <t xml:space="preserve">350 + 350 + 125 + 125</t>
  </si>
  <si>
    <t xml:space="preserve">350 + 125 + 350</t>
  </si>
  <si>
    <t xml:space="preserve">125 + 350 + 125 + 125</t>
  </si>
  <si>
    <t xml:space="preserve">125 + 125 + 350 + 125 + 300</t>
  </si>
  <si>
    <t xml:space="preserve">125 + 125 + 125 + 300</t>
  </si>
  <si>
    <t xml:space="preserve">JCB 448 (125 kVA), JD 6090 (300 kVA)</t>
  </si>
  <si>
    <t xml:space="preserve">125 + 220 + 125</t>
  </si>
  <si>
    <t xml:space="preserve">125 + 220 + 220 + 125 + 125</t>
  </si>
  <si>
    <t xml:space="preserve">220 + 125</t>
  </si>
  <si>
    <t xml:space="preserve">UAE - Intermass - S</t>
  </si>
  <si>
    <t xml:space="preserve">125 + 220 + 125 + 125</t>
  </si>
  <si>
    <t xml:space="preserve">JCB 448 (125 kVA), unlisted 200–220 kVA</t>
  </si>
  <si>
    <t xml:space="preserve">125 + 125 + 125 + 220 + 220</t>
  </si>
  <si>
    <t xml:space="preserve">220 + 125 + 125</t>
  </si>
  <si>
    <t xml:space="preserve">UAE - KITOPI Alqouz- I</t>
  </si>
  <si>
    <t xml:space="preserve">250 + 300</t>
  </si>
  <si>
    <t xml:space="preserve">Cummins QSL9 (250–300 kVA), JD 6090 (300 kVA)</t>
  </si>
  <si>
    <t xml:space="preserve">300 + 220 + 220</t>
  </si>
  <si>
    <t xml:space="preserve">250 + 300 + 220</t>
  </si>
  <si>
    <t xml:space="preserve">Cummins QSL9 (250–300 kVA), JD 6068 (220 kVA), JD 6090 (300 kVA)</t>
  </si>
  <si>
    <t xml:space="preserve">300</t>
  </si>
  <si>
    <t xml:space="preserve">300 + 250</t>
  </si>
  <si>
    <t xml:space="preserve">220 + 300 + 250</t>
  </si>
  <si>
    <t xml:space="preserve">Cummins QSL9 (250–300 kVA), JD 6090 (300 kVA), unlisted 200–220 kVA</t>
  </si>
  <si>
    <t xml:space="preserve">UAE - MNH Fujairah - C</t>
  </si>
  <si>
    <t xml:space="preserve">Cummins QSG12 (350 kVA), Volvo TAD1651 (500 kVA)</t>
  </si>
  <si>
    <t xml:space="preserve">UAE - Natural Fragrances - I</t>
  </si>
  <si>
    <t xml:space="preserve">250</t>
  </si>
  <si>
    <t xml:space="preserve">Cummins QSL9 (250–300 kVA)</t>
  </si>
  <si>
    <t xml:space="preserve">default</t>
  </si>
  <si>
    <t xml:space="preserve">UAE - Nordic - I</t>
  </si>
  <si>
    <t xml:space="preserve">500 + 350 + 300</t>
  </si>
  <si>
    <t xml:space="preserve">Cummins QSG12 (350 kVA), Cummins QSL9 (250–300 kVA), Cummins QSX15 (500 kVA)</t>
  </si>
  <si>
    <t xml:space="preserve">500 + 300 + 350 + 300</t>
  </si>
  <si>
    <t xml:space="preserve">Cummins QSG12 (350 kVA), Cummins QSL9 (250–300 kVA), Cummins QSX15 (500 kVA), JD 6090 (300 kVA)</t>
  </si>
  <si>
    <t xml:space="preserve">500 + 500 + 300 + 300</t>
  </si>
  <si>
    <t xml:space="preserve">Cummins QSL9 (250–300 kVA), Cummins QSX15 (500 kVA), Volvo TAD1651 (500 kVA)</t>
  </si>
  <si>
    <t xml:space="preserve">UAE - SJ ABED - C</t>
  </si>
  <si>
    <t xml:space="preserve">500 + 800 + 800 + 500</t>
  </si>
  <si>
    <t xml:space="preserve">Cummins QSK23 (800 kVA), Volvo TAD1651 (500 kVA)</t>
  </si>
  <si>
    <t xml:space="preserve">500 + 500 + 800 + 800</t>
  </si>
  <si>
    <t xml:space="preserve">500 + 800 + 800</t>
  </si>
  <si>
    <t xml:space="preserve">500 + 800 + 500 + 800</t>
  </si>
  <si>
    <t xml:space="preserve">800 + 500 + 500</t>
  </si>
  <si>
    <t xml:space="preserve">500 + 500 + 800</t>
  </si>
  <si>
    <t xml:space="preserve">500 + 800 + 500</t>
  </si>
  <si>
    <t xml:space="preserve">UAE - Seven Brothers - C</t>
  </si>
  <si>
    <t xml:space="preserve">125 + 220 + 125 + 220</t>
  </si>
  <si>
    <t xml:space="preserve">125 + 220 + 220 + 220</t>
  </si>
  <si>
    <t xml:space="preserve">220 + 220 + 125 + 250</t>
  </si>
  <si>
    <t xml:space="preserve">Cummins QSL9 (250–300 kVA), JD 6068 (220 kVA)</t>
  </si>
  <si>
    <t xml:space="preserve">250 + 220 + 350 + 220</t>
  </si>
  <si>
    <t xml:space="preserve">Cummins QSG12 (350 kVA), Cummins QSL9 (250–300 kVA), JD 6068 (220 kVA)</t>
  </si>
  <si>
    <t xml:space="preserve">350 + 220 + 220</t>
  </si>
  <si>
    <t xml:space="preserve">Cummins QSG12 (350 kVA), JD 6068 (220 kVA)</t>
  </si>
  <si>
    <t xml:space="preserve">500 + 350 + 500 + 250</t>
  </si>
  <si>
    <t xml:space="preserve">Cummins QSG12 (350 kVA), Cummins QSL9 (250–300 kVA), Volvo TAD1651 (500 kVA)</t>
  </si>
  <si>
    <t xml:space="preserve">UAE - Specialist - C</t>
  </si>
  <si>
    <t xml:space="preserve">350 + 500 + 500 + 300</t>
  </si>
  <si>
    <t xml:space="preserve">Cummins QSG12 (350 kVA), Cummins QSX15 (500 kVA), JD 6090 (300 kVA), Volvo TAD1651 (500 kVA)</t>
  </si>
  <si>
    <t xml:space="preserve">Cummins QSG12 (350 kVA), JD 6090 (300 kVA), Volvo TAD1651 (500 kVA)</t>
  </si>
  <si>
    <t xml:space="preserve">350 + 500 + 300</t>
  </si>
  <si>
    <t xml:space="preserve">300 + 500</t>
  </si>
  <si>
    <t xml:space="preserve">350 + 300 + 500</t>
  </si>
  <si>
    <t xml:space="preserve">500 + 350 + 300 + 300</t>
  </si>
  <si>
    <t xml:space="preserve">500 + 300 + 350</t>
  </si>
  <si>
    <t xml:space="preserve">UAE - Target - C</t>
  </si>
  <si>
    <t xml:space="preserve">1250 + 1250 + 1250 + 800 + 1250</t>
  </si>
  <si>
    <t xml:space="preserve">800 + 1250 + 1250 + 1250</t>
  </si>
  <si>
    <t xml:space="preserve">800 + 1250 + 1250</t>
  </si>
  <si>
    <t xml:space="preserve">1250 + 1250 + 1250 + 1250 + 800</t>
  </si>
  <si>
    <t xml:space="preserve">UAE - Techshore - I</t>
  </si>
  <si>
    <t xml:space="preserve">125</t>
  </si>
  <si>
    <t xml:space="preserve">UAE - Trans Asia - I</t>
  </si>
  <si>
    <t xml:space="preserve">250 + 60 + 60 + 300</t>
  </si>
  <si>
    <t xml:space="preserve">Cummins QSL9 (250–300 kVA), JCB 448 (60 kVA)</t>
  </si>
  <si>
    <t xml:space="preserve">300 + 60</t>
  </si>
  <si>
    <t xml:space="preserve">60 + 300 + 300 + 300</t>
  </si>
  <si>
    <t xml:space="preserve">Cummins QSL9 (250–300 kVA), JCB 448 (60 kVA), JD 6090 (300 kVA)</t>
  </si>
  <si>
    <t xml:space="preserve">60 + 300 + 300</t>
  </si>
  <si>
    <t xml:space="preserve">60 + 300</t>
  </si>
  <si>
    <t xml:space="preserve">300 + 60 + 300</t>
  </si>
  <si>
    <t xml:space="preserve">JCB 448 (60 kVA), JD 6090 (300 kVA)</t>
  </si>
  <si>
    <t xml:space="preserve">300 + 125 + 300</t>
  </si>
  <si>
    <t xml:space="preserve">Cummins QSL9 (250–300 kVA), JCB 448 (125 kVA), JD 6090 (300 kVA)</t>
  </si>
  <si>
    <t xml:space="preserve">125 + 300 + 300</t>
  </si>
  <si>
    <t xml:space="preserve">UAE - UG Camp - C</t>
  </si>
  <si>
    <t xml:space="preserve">500 + 800 + 1000 + 800</t>
  </si>
  <si>
    <t xml:space="preserve">800 + 800 + 1000 + 500</t>
  </si>
  <si>
    <t xml:space="preserve">800 + 800 + 500 + 1000</t>
  </si>
  <si>
    <t xml:space="preserve">800 + 500 + 800 + 1000</t>
  </si>
  <si>
    <t xml:space="preserve">800 + 800 + 500 + 500 + 1000</t>
  </si>
  <si>
    <t xml:space="preserve">800 + 500 + 1000 + 500</t>
  </si>
  <si>
    <t xml:space="preserve">Reason</t>
  </si>
  <si>
    <t xml:space="preserve">Report DG kWh</t>
  </si>
  <si>
    <t xml:space="preserve">Portal DG kWh</t>
  </si>
  <si>
    <t xml:space="preserve">Model L/kWh (unreliable)</t>
  </si>
  <si>
    <t xml:space="preserve">report DG differs &gt;20% from portal</t>
  </si>
  <si>
    <t xml:space="preserve">part month (&lt;20 days of hourly data)</t>
  </si>
  <si>
    <t xml:space="preserve">Months</t>
  </si>
  <si>
    <t xml:space="preserve">From</t>
  </si>
  <si>
    <t xml:space="preserve">To</t>
  </si>
  <si>
    <t xml:space="preserve">Whole-period error</t>
  </si>
  <si>
    <t xml:space="preserve">Typical monthly |error|</t>
  </si>
  <si>
    <t xml:space="preserve">Dispatch-only error (model vs curves on actual running)</t>
  </si>
  <si>
    <t xml:space="preserve">Fleet error</t>
  </si>
</sst>
</file>

<file path=xl/styles.xml><?xml version="1.0" encoding="utf-8"?>
<styleSheet xmlns="http://schemas.openxmlformats.org/spreadsheetml/2006/main">
  <numFmts count="5">
    <numFmt numFmtId="164" formatCode="General"/>
    <numFmt numFmtId="165" formatCode="General"/>
    <numFmt numFmtId="166" formatCode="0.0%"/>
    <numFmt numFmtId="167" formatCode="#,##0"/>
    <numFmt numFmtId="168" formatCode="0.000"/>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1"/>
      <name val="Arial"/>
      <family val="0"/>
      <charset val="1"/>
    </font>
    <font>
      <b val="true"/>
      <sz val="11"/>
      <name val="Arial"/>
      <family val="0"/>
      <charset val="1"/>
    </font>
    <font>
      <sz val="10"/>
      <name val="Arial"/>
      <family val="0"/>
      <charset val="1"/>
    </font>
    <font>
      <b val="true"/>
      <sz val="11"/>
      <color rgb="FFFFFFFF"/>
      <name val="Arial"/>
      <family val="0"/>
      <charset val="1"/>
    </font>
  </fonts>
  <fills count="3">
    <fill>
      <patternFill patternType="none"/>
    </fill>
    <fill>
      <patternFill patternType="gray125"/>
    </fill>
    <fill>
      <patternFill patternType="solid">
        <fgColor rgb="FF1F4E5F"/>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5F"/>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F8CBAD"/>
          <bgColor rgb="FF000000"/>
        </patternFill>
      </fill>
    </dxf>
    <dxf>
      <fill>
        <patternFill>
          <bgColor rgb="FFF8CBAD"/>
        </patternFill>
      </fill>
    </dxf>
    <dxf>
      <fill>
        <patternFill>
          <bgColor rgb="FFC6E0B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6E0B4"/>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16"/>
  </cols>
  <sheetData>
    <row r="1" customFormat="false" ht="16.15" hidden="false" customHeight="false" outlineLevel="0" collapsed="false">
      <c r="A1" s="1" t="s">
        <v>0</v>
      </c>
    </row>
    <row r="3" customFormat="false" ht="15" hidden="false" customHeight="false" outlineLevel="0" collapsed="false">
      <c r="A3" s="2" t="s">
        <v>1</v>
      </c>
      <c r="B3" s="3" t="n">
        <f aca="false">COUNTA('Site-months'!A2:A512)</f>
        <v>511</v>
      </c>
    </row>
    <row r="4" customFormat="false" ht="15" hidden="false" customHeight="false" outlineLevel="0" collapsed="false">
      <c r="A4" s="2" t="s">
        <v>2</v>
      </c>
      <c r="B4" s="3" t="n">
        <v>37</v>
      </c>
    </row>
    <row r="5" customFormat="false" ht="15" hidden="false" customHeight="false" outlineLevel="0" collapsed="false">
      <c r="A5" s="2" t="s">
        <v>3</v>
      </c>
      <c r="B5" s="4" t="n">
        <f aca="false">MEDIAN('Site-months'!R2:R512)</f>
        <v>0.0595136539217285</v>
      </c>
    </row>
    <row r="6" customFormat="false" ht="15" hidden="false" customHeight="false" outlineLevel="0" collapsed="false">
      <c r="A6" s="2" t="s">
        <v>4</v>
      </c>
      <c r="B6" s="4" t="n">
        <f aca="false">PERCENTILE('Site-months'!R2:R512,0.9)</f>
        <v>0.187020290295615</v>
      </c>
    </row>
    <row r="7" customFormat="false" ht="15" hidden="false" customHeight="false" outlineLevel="0" collapsed="false">
      <c r="A7" s="2" t="s">
        <v>5</v>
      </c>
      <c r="B7" s="4" t="n">
        <f aca="false">COUNTIF('Site-months'!R2:R512,"&lt;=0.1")/COUNTA('Site-months'!R2:R512)</f>
        <v>0.722113502935421</v>
      </c>
    </row>
    <row r="8" customFormat="false" ht="15" hidden="false" customHeight="false" outlineLevel="0" collapsed="false">
      <c r="A8" s="2" t="s">
        <v>6</v>
      </c>
      <c r="B8" s="4" t="n">
        <f aca="false">MEDIAN('Site-months'!Q2:Q512)</f>
        <v>0.00780017399253907</v>
      </c>
    </row>
    <row r="9" customFormat="false" ht="15" hidden="false" customHeight="false" outlineLevel="0" collapsed="false">
      <c r="A9" s="2" t="s">
        <v>7</v>
      </c>
      <c r="B9" s="5" t="n">
        <f aca="false">SUM('Site-months'!H2:H512)</f>
        <v>30925998</v>
      </c>
    </row>
    <row r="10" customFormat="false" ht="15" hidden="false" customHeight="false" outlineLevel="0" collapsed="false">
      <c r="A10" s="2" t="s">
        <v>8</v>
      </c>
      <c r="B10" s="5" t="n">
        <f aca="false">SUM('Site-months'!L2:L512)</f>
        <v>31219235</v>
      </c>
    </row>
    <row r="11" customFormat="false" ht="15" hidden="false" customHeight="false" outlineLevel="0" collapsed="false">
      <c r="A11" s="2" t="s">
        <v>9</v>
      </c>
      <c r="B11" s="4" t="n">
        <f aca="false">B10/B9-1</f>
        <v>0.00948189287213941</v>
      </c>
    </row>
    <row r="13" customFormat="false" ht="15" hidden="false" customHeight="false" outlineLevel="0" collapsed="false">
      <c r="A13" s="3" t="s">
        <v>10</v>
      </c>
    </row>
    <row r="14" customFormat="false" ht="15" hidden="false" customHeight="false" outlineLevel="0" collapsed="false">
      <c r="A14" s="6" t="s">
        <v>11</v>
      </c>
    </row>
    <row r="15" customFormat="false" ht="15" hidden="false" customHeight="false" outlineLevel="0" collapsed="false">
      <c r="A15" s="6" t="s">
        <v>12</v>
      </c>
    </row>
    <row r="16" customFormat="false" ht="15" hidden="false" customHeight="false" outlineLevel="0" collapsed="false">
      <c r="A16" s="6" t="s">
        <v>13</v>
      </c>
    </row>
    <row r="17" customFormat="false" ht="15" hidden="false" customHeight="false" outlineLevel="0" collapsed="false">
      <c r="A17" s="6" t="s">
        <v>14</v>
      </c>
    </row>
    <row r="18" customFormat="false" ht="15" hidden="false" customHeight="false" outlineLevel="0" collapsed="false">
      <c r="A18" s="6"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4" min="2" style="0" width="9"/>
    <col collapsed="false" customWidth="true" hidden="false" outlineLevel="0" max="5" min="5" style="0" width="21"/>
    <col collapsed="false" customWidth="true" hidden="false" outlineLevel="0" max="7" min="6" style="0" width="34"/>
    <col collapsed="false" customWidth="true" hidden="false" outlineLevel="0" max="8" min="8" style="0" width="17"/>
    <col collapsed="false" customWidth="true" hidden="false" outlineLevel="0" max="9" min="9" style="0" width="15"/>
    <col collapsed="false" customWidth="true" hidden="false" outlineLevel="0" max="10" min="10" style="0" width="14"/>
    <col collapsed="false" customWidth="true" hidden="false" outlineLevel="0" max="11" min="11" style="0" width="21"/>
    <col collapsed="false" customWidth="true" hidden="false" outlineLevel="0" max="12" min="12" style="0" width="16"/>
    <col collapsed="false" customWidth="true" hidden="false" outlineLevel="0" max="13" min="13" style="0" width="13"/>
    <col collapsed="false" customWidth="true" hidden="false" outlineLevel="0" max="14" min="14" style="0" width="30"/>
    <col collapsed="false" customWidth="true" hidden="false" outlineLevel="0" max="15" min="15" style="0" width="11"/>
    <col collapsed="false" customWidth="true" hidden="false" outlineLevel="0" max="16" min="16" style="0" width="10"/>
    <col collapsed="false" customWidth="true" hidden="false" outlineLevel="0" max="17" min="17" style="0" width="14"/>
    <col collapsed="false" customWidth="true" hidden="false" outlineLevel="0" max="18" min="18" style="0" width="15"/>
    <col collapsed="false" customWidth="true" hidden="false" outlineLevel="0" max="19" min="19" style="0" width="20"/>
    <col collapsed="false" customWidth="true" hidden="false" outlineLevel="0" max="20" min="20" style="0" width="18"/>
    <col collapsed="false" customWidth="true" hidden="false" outlineLevel="0" max="21" min="21" style="0" width="34"/>
  </cols>
  <sheetData>
    <row r="1" customFormat="false" ht="42" hidden="false" customHeight="true" outlineLevel="0" collapsed="false">
      <c r="A1" s="7" t="s">
        <v>16</v>
      </c>
      <c r="B1" s="7" t="s">
        <v>17</v>
      </c>
      <c r="C1" s="7" t="s">
        <v>18</v>
      </c>
      <c r="D1" s="7" t="s">
        <v>19</v>
      </c>
      <c r="E1" s="7" t="s">
        <v>20</v>
      </c>
      <c r="F1" s="7" t="s">
        <v>21</v>
      </c>
      <c r="G1" s="7" t="s">
        <v>22</v>
      </c>
      <c r="H1" s="7" t="s">
        <v>23</v>
      </c>
      <c r="I1" s="7" t="s">
        <v>24</v>
      </c>
      <c r="J1" s="7" t="s">
        <v>25</v>
      </c>
      <c r="K1" s="7" t="s">
        <v>26</v>
      </c>
      <c r="L1" s="7" t="s">
        <v>27</v>
      </c>
      <c r="M1" s="7" t="s">
        <v>28</v>
      </c>
      <c r="N1" s="7" t="s">
        <v>29</v>
      </c>
      <c r="O1" s="7" t="s">
        <v>30</v>
      </c>
      <c r="P1" s="7" t="s">
        <v>31</v>
      </c>
      <c r="Q1" s="7" t="s">
        <v>32</v>
      </c>
      <c r="R1" s="7" t="s">
        <v>33</v>
      </c>
      <c r="S1" s="7" t="s">
        <v>34</v>
      </c>
      <c r="T1" s="7" t="s">
        <v>35</v>
      </c>
      <c r="U1" s="7" t="s">
        <v>36</v>
      </c>
    </row>
    <row r="2" customFormat="false" ht="15" hidden="false" customHeight="false" outlineLevel="0" collapsed="false">
      <c r="A2" s="2" t="s">
        <v>37</v>
      </c>
      <c r="B2" s="2" t="s">
        <v>38</v>
      </c>
      <c r="C2" s="2" t="s">
        <v>39</v>
      </c>
      <c r="D2" s="2" t="s">
        <v>40</v>
      </c>
      <c r="E2" s="2" t="n">
        <v>24</v>
      </c>
      <c r="F2" s="2" t="s">
        <v>41</v>
      </c>
      <c r="G2" s="2" t="s">
        <v>42</v>
      </c>
      <c r="H2" s="8" t="n">
        <v>39000</v>
      </c>
      <c r="I2" s="8" t="n">
        <v>105059</v>
      </c>
      <c r="J2" s="9" t="n">
        <f aca="false">H2/I2</f>
        <v>0.371219981153447</v>
      </c>
      <c r="K2" s="10" t="n">
        <v>0.066</v>
      </c>
      <c r="L2" s="8" t="n">
        <v>36497</v>
      </c>
      <c r="M2" s="9" t="n">
        <f aca="false">L2/I2</f>
        <v>0.34739527313224</v>
      </c>
      <c r="N2" s="8" t="n">
        <v>36619</v>
      </c>
      <c r="O2" s="2" t="n">
        <v>0.49</v>
      </c>
      <c r="P2" s="2" t="n">
        <v>0.3</v>
      </c>
      <c r="Q2" s="10" t="n">
        <f aca="false">L2/H2-1</f>
        <v>-0.0641794871794872</v>
      </c>
      <c r="R2" s="10" t="n">
        <f aca="false">ABS(Q2)</f>
        <v>0.0641794871794872</v>
      </c>
      <c r="S2" s="2" t="s">
        <v>43</v>
      </c>
      <c r="T2" s="2" t="n">
        <v>0.34</v>
      </c>
      <c r="U2" s="2" t="n">
        <v>1.017</v>
      </c>
    </row>
    <row r="3" customFormat="false" ht="15" hidden="false" customHeight="false" outlineLevel="0" collapsed="false">
      <c r="A3" s="2" t="s">
        <v>37</v>
      </c>
      <c r="B3" s="2" t="s">
        <v>44</v>
      </c>
      <c r="C3" s="2" t="s">
        <v>39</v>
      </c>
      <c r="D3" s="2" t="s">
        <v>40</v>
      </c>
      <c r="E3" s="2" t="n">
        <v>28</v>
      </c>
      <c r="F3" s="2" t="s">
        <v>45</v>
      </c>
      <c r="G3" s="2" t="s">
        <v>42</v>
      </c>
      <c r="H3" s="8" t="n">
        <v>38165</v>
      </c>
      <c r="I3" s="8" t="n">
        <v>87845</v>
      </c>
      <c r="J3" s="9" t="n">
        <f aca="false">H3/I3</f>
        <v>0.434458421082589</v>
      </c>
      <c r="K3" s="10" t="n">
        <v>0.071</v>
      </c>
      <c r="L3" s="8" t="n">
        <v>30939</v>
      </c>
      <c r="M3" s="9" t="n">
        <f aca="false">L3/I3</f>
        <v>0.352199897546815</v>
      </c>
      <c r="N3" s="8" t="n">
        <v>34784</v>
      </c>
      <c r="O3" s="2" t="n">
        <v>0.49</v>
      </c>
      <c r="P3" s="2" t="n">
        <v>0.3</v>
      </c>
      <c r="Q3" s="10" t="n">
        <f aca="false">L3/H3-1</f>
        <v>-0.189335778854972</v>
      </c>
      <c r="R3" s="10" t="n">
        <f aca="false">ABS(Q3)</f>
        <v>0.189335778854972</v>
      </c>
      <c r="S3" s="2" t="s">
        <v>43</v>
      </c>
      <c r="T3" s="2" t="n">
        <v>0.32</v>
      </c>
      <c r="U3" s="2" t="n">
        <v>1</v>
      </c>
    </row>
    <row r="4" customFormat="false" ht="15" hidden="false" customHeight="false" outlineLevel="0" collapsed="false">
      <c r="A4" s="2" t="s">
        <v>37</v>
      </c>
      <c r="B4" s="2" t="s">
        <v>46</v>
      </c>
      <c r="C4" s="2" t="s">
        <v>39</v>
      </c>
      <c r="D4" s="2" t="s">
        <v>40</v>
      </c>
      <c r="E4" s="2" t="n">
        <v>31</v>
      </c>
      <c r="F4" s="2" t="s">
        <v>47</v>
      </c>
      <c r="G4" s="2" t="s">
        <v>42</v>
      </c>
      <c r="H4" s="8" t="n">
        <v>46706</v>
      </c>
      <c r="I4" s="8" t="n">
        <v>100676</v>
      </c>
      <c r="J4" s="9" t="n">
        <f aca="false">H4/I4</f>
        <v>0.463923874607652</v>
      </c>
      <c r="K4" s="10" t="n">
        <v>0.1</v>
      </c>
      <c r="L4" s="8" t="n">
        <v>43702</v>
      </c>
      <c r="M4" s="9" t="n">
        <f aca="false">L4/I4</f>
        <v>0.434085581469268</v>
      </c>
      <c r="N4" s="8" t="n">
        <v>41402</v>
      </c>
      <c r="O4" s="2" t="n">
        <v>0.49</v>
      </c>
      <c r="P4" s="2" t="n">
        <v>0.3</v>
      </c>
      <c r="Q4" s="10" t="n">
        <f aca="false">L4/H4-1</f>
        <v>-0.0643172183445382</v>
      </c>
      <c r="R4" s="10" t="n">
        <f aca="false">ABS(Q4)</f>
        <v>0.0643172183445382</v>
      </c>
      <c r="S4" s="2" t="s">
        <v>43</v>
      </c>
      <c r="T4" s="2" t="n">
        <v>0.27</v>
      </c>
      <c r="U4" s="2" t="n">
        <v>0.994</v>
      </c>
    </row>
    <row r="5" customFormat="false" ht="15" hidden="false" customHeight="false" outlineLevel="0" collapsed="false">
      <c r="A5" s="2" t="s">
        <v>37</v>
      </c>
      <c r="B5" s="2" t="s">
        <v>48</v>
      </c>
      <c r="C5" s="2" t="s">
        <v>39</v>
      </c>
      <c r="D5" s="2" t="s">
        <v>40</v>
      </c>
      <c r="E5" s="2" t="n">
        <v>30</v>
      </c>
      <c r="F5" s="2" t="s">
        <v>49</v>
      </c>
      <c r="G5" s="2" t="s">
        <v>42</v>
      </c>
      <c r="H5" s="8" t="n">
        <v>59320</v>
      </c>
      <c r="I5" s="8" t="n">
        <v>165755</v>
      </c>
      <c r="J5" s="9" t="n">
        <f aca="false">H5/I5</f>
        <v>0.357877590419595</v>
      </c>
      <c r="K5" s="10" t="n">
        <v>0.062</v>
      </c>
      <c r="L5" s="8" t="n">
        <v>58325</v>
      </c>
      <c r="M5" s="9" t="n">
        <f aca="false">L5/I5</f>
        <v>0.351874754909354</v>
      </c>
      <c r="N5" s="8" t="n">
        <v>57590</v>
      </c>
      <c r="O5" s="2" t="n">
        <v>0.58</v>
      </c>
      <c r="P5" s="2" t="n">
        <v>0.41</v>
      </c>
      <c r="Q5" s="10" t="n">
        <f aca="false">L5/H5-1</f>
        <v>-0.0167734322319623</v>
      </c>
      <c r="R5" s="10" t="n">
        <f aca="false">ABS(Q5)</f>
        <v>0.0167734322319623</v>
      </c>
      <c r="S5" s="2" t="s">
        <v>43</v>
      </c>
      <c r="T5" s="2" t="n">
        <v>0.43</v>
      </c>
      <c r="U5" s="2" t="n">
        <v>1.084</v>
      </c>
    </row>
    <row r="6" customFormat="false" ht="15" hidden="false" customHeight="false" outlineLevel="0" collapsed="false">
      <c r="A6" s="2" t="s">
        <v>37</v>
      </c>
      <c r="B6" s="2" t="s">
        <v>50</v>
      </c>
      <c r="C6" s="2" t="s">
        <v>39</v>
      </c>
      <c r="D6" s="2" t="s">
        <v>40</v>
      </c>
      <c r="E6" s="2" t="n">
        <v>30</v>
      </c>
      <c r="F6" s="2" t="s">
        <v>51</v>
      </c>
      <c r="G6" s="2" t="s">
        <v>42</v>
      </c>
      <c r="H6" s="8" t="n">
        <v>78300</v>
      </c>
      <c r="I6" s="8" t="n">
        <v>218465</v>
      </c>
      <c r="J6" s="9" t="n">
        <f aca="false">H6/I6</f>
        <v>0.358409813929005</v>
      </c>
      <c r="K6" s="10" t="n">
        <v>0.053</v>
      </c>
      <c r="L6" s="8" t="n">
        <v>72567</v>
      </c>
      <c r="M6" s="9" t="n">
        <f aca="false">L6/I6</f>
        <v>0.332167624104548</v>
      </c>
      <c r="N6" s="8" t="n">
        <v>74100</v>
      </c>
      <c r="O6" s="2" t="n">
        <v>0.58</v>
      </c>
      <c r="P6" s="2" t="n">
        <v>0.41</v>
      </c>
      <c r="Q6" s="10" t="n">
        <f aca="false">L6/H6-1</f>
        <v>-0.0732183908045977</v>
      </c>
      <c r="R6" s="10" t="n">
        <f aca="false">ABS(Q6)</f>
        <v>0.0732183908045977</v>
      </c>
      <c r="S6" s="2" t="s">
        <v>43</v>
      </c>
      <c r="T6" s="2" t="n">
        <v>0.45</v>
      </c>
      <c r="U6" s="2" t="n">
        <v>1.056</v>
      </c>
    </row>
    <row r="7" customFormat="false" ht="15" hidden="false" customHeight="false" outlineLevel="0" collapsed="false">
      <c r="A7" s="2" t="s">
        <v>37</v>
      </c>
      <c r="B7" s="2" t="s">
        <v>52</v>
      </c>
      <c r="C7" s="2" t="s">
        <v>39</v>
      </c>
      <c r="D7" s="2" t="s">
        <v>40</v>
      </c>
      <c r="E7" s="2" t="n">
        <v>28</v>
      </c>
      <c r="F7" s="2" t="s">
        <v>51</v>
      </c>
      <c r="G7" s="2" t="s">
        <v>42</v>
      </c>
      <c r="H7" s="8" t="n">
        <v>83564</v>
      </c>
      <c r="I7" s="8" t="n">
        <v>265004</v>
      </c>
      <c r="J7" s="9" t="n">
        <f aca="false">H7/I7</f>
        <v>0.315331089342048</v>
      </c>
      <c r="K7" s="10" t="n">
        <v>0.043</v>
      </c>
      <c r="L7" s="8" t="n">
        <v>86474</v>
      </c>
      <c r="M7" s="9" t="n">
        <f aca="false">L7/I7</f>
        <v>0.326312055667084</v>
      </c>
      <c r="N7" s="8" t="n">
        <v>88992</v>
      </c>
      <c r="O7" s="2" t="n">
        <v>0.7</v>
      </c>
      <c r="P7" s="2" t="n">
        <v>0.43</v>
      </c>
      <c r="Q7" s="10" t="n">
        <f aca="false">L7/H7-1</f>
        <v>0.0348236082523574</v>
      </c>
      <c r="R7" s="10" t="n">
        <f aca="false">ABS(Q7)</f>
        <v>0.0348236082523574</v>
      </c>
      <c r="S7" s="2" t="s">
        <v>43</v>
      </c>
      <c r="T7" s="2" t="n">
        <v>0.52</v>
      </c>
      <c r="U7" s="2" t="n">
        <v>1.244</v>
      </c>
    </row>
    <row r="8" customFormat="false" ht="15" hidden="false" customHeight="false" outlineLevel="0" collapsed="false">
      <c r="A8" s="2" t="s">
        <v>37</v>
      </c>
      <c r="B8" s="2" t="s">
        <v>53</v>
      </c>
      <c r="C8" s="2" t="s">
        <v>39</v>
      </c>
      <c r="D8" s="2" t="s">
        <v>40</v>
      </c>
      <c r="E8" s="2" t="n">
        <v>31</v>
      </c>
      <c r="F8" s="2" t="s">
        <v>51</v>
      </c>
      <c r="G8" s="2" t="s">
        <v>42</v>
      </c>
      <c r="H8" s="8" t="n">
        <v>86929</v>
      </c>
      <c r="I8" s="8" t="n">
        <v>278672</v>
      </c>
      <c r="J8" s="9" t="n">
        <f aca="false">H8/I8</f>
        <v>0.311940202101395</v>
      </c>
      <c r="K8" s="10" t="n">
        <v>0.038</v>
      </c>
      <c r="L8" s="8" t="n">
        <v>90663</v>
      </c>
      <c r="M8" s="9" t="n">
        <f aca="false">L8/I8</f>
        <v>0.325339467187231</v>
      </c>
      <c r="N8" s="8" t="n">
        <v>94614</v>
      </c>
      <c r="O8" s="2" t="n">
        <v>0.7</v>
      </c>
      <c r="P8" s="2" t="n">
        <v>0.43</v>
      </c>
      <c r="Q8" s="10" t="n">
        <f aca="false">L8/H8-1</f>
        <v>0.0429545951293584</v>
      </c>
      <c r="R8" s="10" t="n">
        <f aca="false">ABS(Q8)</f>
        <v>0.0429545951293584</v>
      </c>
      <c r="S8" s="2" t="s">
        <v>43</v>
      </c>
      <c r="T8" s="2" t="n">
        <v>0.55</v>
      </c>
      <c r="U8" s="2" t="n">
        <v>1.04</v>
      </c>
    </row>
    <row r="9" customFormat="false" ht="15" hidden="false" customHeight="false" outlineLevel="0" collapsed="false">
      <c r="A9" s="2" t="s">
        <v>37</v>
      </c>
      <c r="B9" s="2" t="s">
        <v>54</v>
      </c>
      <c r="C9" s="2" t="s">
        <v>39</v>
      </c>
      <c r="D9" s="2" t="s">
        <v>40</v>
      </c>
      <c r="E9" s="2" t="n">
        <v>30</v>
      </c>
      <c r="F9" s="2" t="s">
        <v>55</v>
      </c>
      <c r="G9" s="2" t="s">
        <v>56</v>
      </c>
      <c r="H9" s="8" t="n">
        <v>68202</v>
      </c>
      <c r="I9" s="8" t="n">
        <v>218730</v>
      </c>
      <c r="J9" s="9" t="n">
        <f aca="false">H9/I9</f>
        <v>0.311809079687286</v>
      </c>
      <c r="K9" s="10" t="n">
        <v>0.045</v>
      </c>
      <c r="L9" s="8" t="n">
        <v>71410</v>
      </c>
      <c r="M9" s="9" t="n">
        <f aca="false">L9/I9</f>
        <v>0.32647556348009</v>
      </c>
      <c r="N9" s="8" t="n">
        <v>71882</v>
      </c>
      <c r="O9" s="2" t="n">
        <v>0.7</v>
      </c>
      <c r="P9" s="2" t="n">
        <v>0.43</v>
      </c>
      <c r="Q9" s="10" t="n">
        <f aca="false">L9/H9-1</f>
        <v>0.0470367437905046</v>
      </c>
      <c r="R9" s="10" t="n">
        <f aca="false">ABS(Q9)</f>
        <v>0.0470367437905046</v>
      </c>
      <c r="S9" s="2" t="s">
        <v>43</v>
      </c>
      <c r="T9" s="2" t="n">
        <v>0.51</v>
      </c>
      <c r="U9" s="2" t="n">
        <v>1.022</v>
      </c>
    </row>
    <row r="10" customFormat="false" ht="15" hidden="false" customHeight="false" outlineLevel="0" collapsed="false">
      <c r="A10" s="2" t="s">
        <v>37</v>
      </c>
      <c r="B10" s="2" t="s">
        <v>57</v>
      </c>
      <c r="C10" s="2" t="s">
        <v>39</v>
      </c>
      <c r="D10" s="2" t="s">
        <v>40</v>
      </c>
      <c r="E10" s="2" t="n">
        <v>31</v>
      </c>
      <c r="F10" s="2" t="s">
        <v>55</v>
      </c>
      <c r="G10" s="2" t="s">
        <v>56</v>
      </c>
      <c r="H10" s="8" t="n">
        <v>49800</v>
      </c>
      <c r="I10" s="8" t="n">
        <v>149198</v>
      </c>
      <c r="J10" s="9" t="n">
        <f aca="false">H10/I10</f>
        <v>0.333784635182777</v>
      </c>
      <c r="K10" s="10" t="n">
        <v>0.058</v>
      </c>
      <c r="L10" s="8" t="n">
        <v>49914</v>
      </c>
      <c r="M10" s="9" t="n">
        <f aca="false">L10/I10</f>
        <v>0.334548720492232</v>
      </c>
      <c r="N10" s="8" t="n">
        <v>50743</v>
      </c>
      <c r="O10" s="2" t="n">
        <v>0.72</v>
      </c>
      <c r="P10" s="2" t="n">
        <v>0.41</v>
      </c>
      <c r="Q10" s="10" t="n">
        <f aca="false">L10/H10-1</f>
        <v>0.00228915662650597</v>
      </c>
      <c r="R10" s="10" t="n">
        <f aca="false">ABS(Q10)</f>
        <v>0.00228915662650597</v>
      </c>
      <c r="S10" s="2" t="s">
        <v>43</v>
      </c>
      <c r="T10" s="2" t="n">
        <v>0.43</v>
      </c>
      <c r="U10" s="2" t="n">
        <v>0.998</v>
      </c>
    </row>
    <row r="11" customFormat="false" ht="15" hidden="false" customHeight="false" outlineLevel="0" collapsed="false">
      <c r="A11" s="2" t="s">
        <v>37</v>
      </c>
      <c r="B11" s="2" t="s">
        <v>58</v>
      </c>
      <c r="C11" s="2" t="s">
        <v>39</v>
      </c>
      <c r="D11" s="2" t="s">
        <v>40</v>
      </c>
      <c r="E11" s="2" t="n">
        <v>30</v>
      </c>
      <c r="F11" s="2" t="s">
        <v>55</v>
      </c>
      <c r="G11" s="2" t="s">
        <v>56</v>
      </c>
      <c r="H11" s="8" t="n">
        <v>36440</v>
      </c>
      <c r="I11" s="8" t="n">
        <v>104601</v>
      </c>
      <c r="J11" s="9" t="n">
        <f aca="false">H11/I11</f>
        <v>0.348371430483456</v>
      </c>
      <c r="K11" s="10" t="n">
        <v>0.069</v>
      </c>
      <c r="L11" s="8" t="n">
        <v>35797</v>
      </c>
      <c r="M11" s="9" t="n">
        <f aca="false">L11/I11</f>
        <v>0.342224261718339</v>
      </c>
      <c r="N11" s="8" t="n">
        <v>35875</v>
      </c>
      <c r="O11" s="2" t="n">
        <v>0.72</v>
      </c>
      <c r="P11" s="2" t="n">
        <v>0.41</v>
      </c>
      <c r="Q11" s="10" t="n">
        <f aca="false">L11/H11-1</f>
        <v>-0.0176454445664105</v>
      </c>
      <c r="R11" s="10" t="n">
        <f aca="false">ABS(Q11)</f>
        <v>0.0176454445664105</v>
      </c>
      <c r="S11" s="2" t="s">
        <v>43</v>
      </c>
      <c r="T11" s="2" t="n">
        <v>0.36</v>
      </c>
      <c r="U11" s="2" t="n">
        <v>0.96</v>
      </c>
    </row>
    <row r="12" customFormat="false" ht="15" hidden="false" customHeight="false" outlineLevel="0" collapsed="false">
      <c r="A12" s="2" t="s">
        <v>37</v>
      </c>
      <c r="B12" s="2" t="s">
        <v>59</v>
      </c>
      <c r="C12" s="2" t="s">
        <v>39</v>
      </c>
      <c r="D12" s="2" t="s">
        <v>40</v>
      </c>
      <c r="E12" s="2" t="n">
        <v>31</v>
      </c>
      <c r="F12" s="2" t="s">
        <v>55</v>
      </c>
      <c r="G12" s="2" t="s">
        <v>56</v>
      </c>
      <c r="H12" s="8" t="n">
        <v>35526</v>
      </c>
      <c r="I12" s="8" t="n">
        <v>109516</v>
      </c>
      <c r="J12" s="9" t="n">
        <f aca="false">H12/I12</f>
        <v>0.324390956572556</v>
      </c>
      <c r="K12" s="10" t="n">
        <v>0.054</v>
      </c>
      <c r="L12" s="8" t="n">
        <v>37381</v>
      </c>
      <c r="M12" s="9" t="n">
        <f aca="false">L12/I12</f>
        <v>0.341329120859053</v>
      </c>
      <c r="N12" s="8" t="n">
        <v>37574</v>
      </c>
      <c r="O12" s="2" t="n">
        <v>0.72</v>
      </c>
      <c r="P12" s="2" t="n">
        <v>0.41</v>
      </c>
      <c r="Q12" s="10" t="n">
        <f aca="false">L12/H12-1</f>
        <v>0.0522152789506276</v>
      </c>
      <c r="R12" s="10" t="n">
        <f aca="false">ABS(Q12)</f>
        <v>0.0522152789506276</v>
      </c>
      <c r="S12" s="2" t="s">
        <v>43</v>
      </c>
      <c r="T12" s="2" t="n">
        <v>0.37</v>
      </c>
      <c r="U12" s="2" t="n">
        <v>1</v>
      </c>
    </row>
    <row r="13" customFormat="false" ht="15" hidden="false" customHeight="false" outlineLevel="0" collapsed="false">
      <c r="A13" s="2" t="s">
        <v>37</v>
      </c>
      <c r="B13" s="2" t="s">
        <v>60</v>
      </c>
      <c r="C13" s="2" t="s">
        <v>39</v>
      </c>
      <c r="D13" s="2" t="s">
        <v>40</v>
      </c>
      <c r="E13" s="2" t="n">
        <v>31</v>
      </c>
      <c r="F13" s="2" t="s">
        <v>55</v>
      </c>
      <c r="G13" s="2" t="s">
        <v>56</v>
      </c>
      <c r="H13" s="8" t="n">
        <v>33047</v>
      </c>
      <c r="I13" s="8" t="n">
        <v>98284</v>
      </c>
      <c r="J13" s="9" t="n">
        <f aca="false">H13/I13</f>
        <v>0.336239876276912</v>
      </c>
      <c r="K13" s="10" t="n">
        <v>0.074</v>
      </c>
      <c r="L13" s="8" t="n">
        <v>35958</v>
      </c>
      <c r="M13" s="9" t="n">
        <f aca="false">L13/I13</f>
        <v>0.36585812543242</v>
      </c>
      <c r="N13" s="8" t="n">
        <v>34251</v>
      </c>
      <c r="O13" s="2" t="n">
        <v>0.45</v>
      </c>
      <c r="P13" s="2" t="n">
        <v>0.16</v>
      </c>
      <c r="Q13" s="10" t="n">
        <f aca="false">L13/H13-1</f>
        <v>0.0880866644476048</v>
      </c>
      <c r="R13" s="10" t="n">
        <f aca="false">ABS(Q13)</f>
        <v>0.0880866644476048</v>
      </c>
      <c r="S13" s="2" t="s">
        <v>43</v>
      </c>
      <c r="T13" s="2" t="n">
        <v>0.29</v>
      </c>
      <c r="U13" s="2" t="n">
        <v>1.014</v>
      </c>
    </row>
    <row r="14" customFormat="false" ht="15" hidden="false" customHeight="false" outlineLevel="0" collapsed="false">
      <c r="A14" s="2" t="s">
        <v>37</v>
      </c>
      <c r="B14" s="2" t="s">
        <v>61</v>
      </c>
      <c r="C14" s="2" t="s">
        <v>39</v>
      </c>
      <c r="D14" s="2" t="s">
        <v>40</v>
      </c>
      <c r="E14" s="2" t="n">
        <v>28</v>
      </c>
      <c r="F14" s="2" t="s">
        <v>55</v>
      </c>
      <c r="G14" s="2" t="s">
        <v>56</v>
      </c>
      <c r="H14" s="8" t="n">
        <v>28532</v>
      </c>
      <c r="I14" s="8" t="n">
        <v>83476</v>
      </c>
      <c r="J14" s="9" t="n">
        <f aca="false">H14/I14</f>
        <v>0.34179884038526</v>
      </c>
      <c r="K14" s="10" t="n">
        <v>0.091</v>
      </c>
      <c r="L14" s="8" t="n">
        <v>29881</v>
      </c>
      <c r="M14" s="9" t="n">
        <f aca="false">L14/I14</f>
        <v>0.357959173894293</v>
      </c>
      <c r="N14" s="8" t="n">
        <v>29546</v>
      </c>
      <c r="O14" s="2" t="n">
        <v>0.45</v>
      </c>
      <c r="P14" s="2" t="n">
        <v>0.16</v>
      </c>
      <c r="Q14" s="10" t="n">
        <f aca="false">L14/H14-1</f>
        <v>0.0472802467405018</v>
      </c>
      <c r="R14" s="10" t="n">
        <f aca="false">ABS(Q14)</f>
        <v>0.0472802467405018</v>
      </c>
      <c r="S14" s="2" t="s">
        <v>43</v>
      </c>
      <c r="T14" s="2" t="n">
        <v>0.3</v>
      </c>
      <c r="U14" s="2" t="n">
        <v>0.996</v>
      </c>
    </row>
    <row r="15" customFormat="false" ht="15" hidden="false" customHeight="false" outlineLevel="0" collapsed="false">
      <c r="A15" s="2" t="s">
        <v>37</v>
      </c>
      <c r="B15" s="2" t="s">
        <v>62</v>
      </c>
      <c r="C15" s="2" t="s">
        <v>39</v>
      </c>
      <c r="D15" s="2" t="s">
        <v>40</v>
      </c>
      <c r="E15" s="2" t="n">
        <v>31</v>
      </c>
      <c r="F15" s="2" t="s">
        <v>55</v>
      </c>
      <c r="G15" s="2" t="s">
        <v>56</v>
      </c>
      <c r="H15" s="8" t="n">
        <v>31823</v>
      </c>
      <c r="I15" s="8" t="n">
        <v>93504</v>
      </c>
      <c r="J15" s="9" t="n">
        <f aca="false">H15/I15</f>
        <v>0.340338381245722</v>
      </c>
      <c r="K15" s="10" t="n">
        <v>0.086</v>
      </c>
      <c r="L15" s="8" t="n">
        <v>33717</v>
      </c>
      <c r="M15" s="9" t="n">
        <f aca="false">L15/I15</f>
        <v>0.360594199178645</v>
      </c>
      <c r="N15" s="8" t="n">
        <v>33164</v>
      </c>
      <c r="O15" s="2" t="n">
        <v>0.45</v>
      </c>
      <c r="P15" s="2" t="n">
        <v>0.16</v>
      </c>
      <c r="Q15" s="10" t="n">
        <f aca="false">L15/H15-1</f>
        <v>0.0595167017565912</v>
      </c>
      <c r="R15" s="10" t="n">
        <f aca="false">ABS(Q15)</f>
        <v>0.0595167017565912</v>
      </c>
      <c r="S15" s="2" t="s">
        <v>43</v>
      </c>
      <c r="T15" s="2" t="n">
        <v>0.3</v>
      </c>
      <c r="U15" s="2" t="n">
        <v>0.999</v>
      </c>
    </row>
    <row r="16" customFormat="false" ht="15" hidden="false" customHeight="false" outlineLevel="0" collapsed="false">
      <c r="A16" s="2" t="s">
        <v>37</v>
      </c>
      <c r="B16" s="2" t="s">
        <v>63</v>
      </c>
      <c r="C16" s="2" t="s">
        <v>39</v>
      </c>
      <c r="D16" s="2" t="s">
        <v>40</v>
      </c>
      <c r="E16" s="2" t="n">
        <v>30</v>
      </c>
      <c r="F16" s="2" t="s">
        <v>55</v>
      </c>
      <c r="G16" s="2" t="s">
        <v>56</v>
      </c>
      <c r="H16" s="8" t="n">
        <v>36079</v>
      </c>
      <c r="I16" s="8" t="n">
        <v>111671</v>
      </c>
      <c r="J16" s="9" t="n">
        <f aca="false">H16/I16</f>
        <v>0.323082984839394</v>
      </c>
      <c r="K16" s="10" t="n">
        <v>0.075</v>
      </c>
      <c r="L16" s="8" t="n">
        <v>37886</v>
      </c>
      <c r="M16" s="9" t="n">
        <f aca="false">L16/I16</f>
        <v>0.339264446454317</v>
      </c>
      <c r="N16" s="8" t="n">
        <v>37995</v>
      </c>
      <c r="O16" s="2" t="n">
        <v>0.71</v>
      </c>
      <c r="P16" s="2" t="n">
        <v>0.36</v>
      </c>
      <c r="Q16" s="10" t="n">
        <f aca="false">L16/H16-1</f>
        <v>0.0500845367111062</v>
      </c>
      <c r="R16" s="10" t="n">
        <f aca="false">ABS(Q16)</f>
        <v>0.0500845367111062</v>
      </c>
      <c r="S16" s="2" t="s">
        <v>43</v>
      </c>
      <c r="T16" s="2" t="n">
        <v>0.39</v>
      </c>
      <c r="U16" s="2" t="n">
        <v>1.017</v>
      </c>
    </row>
    <row r="17" customFormat="false" ht="15" hidden="false" customHeight="false" outlineLevel="0" collapsed="false">
      <c r="A17" s="2" t="s">
        <v>37</v>
      </c>
      <c r="B17" s="2" t="s">
        <v>64</v>
      </c>
      <c r="C17" s="2" t="s">
        <v>39</v>
      </c>
      <c r="D17" s="2" t="s">
        <v>40</v>
      </c>
      <c r="E17" s="2" t="n">
        <v>31</v>
      </c>
      <c r="F17" s="2" t="s">
        <v>55</v>
      </c>
      <c r="G17" s="2" t="s">
        <v>56</v>
      </c>
      <c r="H17" s="8" t="n">
        <v>56362</v>
      </c>
      <c r="I17" s="8" t="n">
        <v>176643</v>
      </c>
      <c r="J17" s="9" t="n">
        <f aca="false">H17/I17</f>
        <v>0.3190729324117</v>
      </c>
      <c r="K17" s="10" t="n">
        <v>0.06</v>
      </c>
      <c r="L17" s="8" t="n">
        <v>57977</v>
      </c>
      <c r="M17" s="9" t="n">
        <f aca="false">L17/I17</f>
        <v>0.328215666627039</v>
      </c>
      <c r="N17" s="8" t="n">
        <v>57435</v>
      </c>
      <c r="O17" s="2" t="n">
        <v>0.71</v>
      </c>
      <c r="P17" s="2" t="n">
        <v>0.36</v>
      </c>
      <c r="Q17" s="10" t="n">
        <f aca="false">L17/H17-1</f>
        <v>0.0286540576984493</v>
      </c>
      <c r="R17" s="10" t="n">
        <f aca="false">ABS(Q17)</f>
        <v>0.0286540576984493</v>
      </c>
      <c r="S17" s="2" t="s">
        <v>43</v>
      </c>
      <c r="T17" s="2" t="n">
        <v>0.49</v>
      </c>
      <c r="U17" s="2" t="n">
        <v>1.25</v>
      </c>
    </row>
    <row r="18" customFormat="false" ht="15" hidden="false" customHeight="false" outlineLevel="0" collapsed="false">
      <c r="A18" s="2" t="s">
        <v>37</v>
      </c>
      <c r="B18" s="2" t="s">
        <v>65</v>
      </c>
      <c r="C18" s="2" t="s">
        <v>39</v>
      </c>
      <c r="D18" s="2" t="s">
        <v>40</v>
      </c>
      <c r="E18" s="2" t="n">
        <v>30</v>
      </c>
      <c r="F18" s="2" t="s">
        <v>55</v>
      </c>
      <c r="G18" s="2" t="s">
        <v>56</v>
      </c>
      <c r="H18" s="8" t="n">
        <v>70546</v>
      </c>
      <c r="I18" s="8" t="n">
        <v>222592</v>
      </c>
      <c r="J18" s="9" t="n">
        <f aca="false">H18/I18</f>
        <v>0.316929629097182</v>
      </c>
      <c r="K18" s="10" t="n">
        <v>0.049</v>
      </c>
      <c r="L18" s="8" t="n">
        <v>72589</v>
      </c>
      <c r="M18" s="9" t="n">
        <f aca="false">L18/I18</f>
        <v>0.32610785652674</v>
      </c>
      <c r="N18" s="8" t="n">
        <v>73960</v>
      </c>
      <c r="O18" s="2" t="n">
        <v>0.71</v>
      </c>
      <c r="P18" s="2" t="n">
        <v>0.36</v>
      </c>
      <c r="Q18" s="10" t="n">
        <f aca="false">L18/H18-1</f>
        <v>0.0289598276301988</v>
      </c>
      <c r="R18" s="10" t="n">
        <f aca="false">ABS(Q18)</f>
        <v>0.0289598276301988</v>
      </c>
      <c r="S18" s="2" t="s">
        <v>43</v>
      </c>
      <c r="T18" s="2" t="n">
        <v>0.51</v>
      </c>
      <c r="U18" s="2" t="n">
        <v>1.029</v>
      </c>
    </row>
    <row r="19" customFormat="false" ht="15" hidden="false" customHeight="false" outlineLevel="0" collapsed="false">
      <c r="A19" s="2" t="s">
        <v>37</v>
      </c>
      <c r="B19" s="2" t="s">
        <v>66</v>
      </c>
      <c r="C19" s="2" t="s">
        <v>39</v>
      </c>
      <c r="D19" s="2" t="s">
        <v>40</v>
      </c>
      <c r="E19" s="2" t="n">
        <v>31</v>
      </c>
      <c r="F19" s="2" t="s">
        <v>55</v>
      </c>
      <c r="G19" s="2" t="s">
        <v>56</v>
      </c>
      <c r="H19" s="8" t="n">
        <v>81394</v>
      </c>
      <c r="I19" s="8" t="n">
        <v>239877</v>
      </c>
      <c r="J19" s="9" t="n">
        <f aca="false">H19/I19</f>
        <v>0.339315565894187</v>
      </c>
      <c r="K19" s="10" t="n">
        <v>0.051</v>
      </c>
      <c r="L19" s="8" t="n">
        <v>78064</v>
      </c>
      <c r="M19" s="9" t="n">
        <f aca="false">L19/I19</f>
        <v>0.325433451310463</v>
      </c>
      <c r="N19" s="8" t="n">
        <v>79944</v>
      </c>
      <c r="O19" s="2" t="n">
        <v>0.71</v>
      </c>
      <c r="P19" s="2" t="n">
        <v>0.36</v>
      </c>
      <c r="Q19" s="10" t="n">
        <f aca="false">L19/H19-1</f>
        <v>-0.0409121065434799</v>
      </c>
      <c r="R19" s="10" t="n">
        <f aca="false">ABS(Q19)</f>
        <v>0.0409121065434799</v>
      </c>
      <c r="S19" s="2" t="s">
        <v>43</v>
      </c>
      <c r="T19" s="2" t="n">
        <v>0.53</v>
      </c>
      <c r="U19" s="2" t="n">
        <v>1.003</v>
      </c>
    </row>
    <row r="20" customFormat="false" ht="15" hidden="false" customHeight="false" outlineLevel="0" collapsed="false">
      <c r="A20" s="2" t="s">
        <v>37</v>
      </c>
      <c r="B20" s="2" t="s">
        <v>67</v>
      </c>
      <c r="C20" s="2" t="s">
        <v>39</v>
      </c>
      <c r="D20" s="2" t="s">
        <v>40</v>
      </c>
      <c r="E20" s="2" t="n">
        <v>31</v>
      </c>
      <c r="F20" s="2" t="s">
        <v>55</v>
      </c>
      <c r="G20" s="2" t="s">
        <v>56</v>
      </c>
      <c r="H20" s="8" t="n">
        <v>88608</v>
      </c>
      <c r="I20" s="8" t="n">
        <v>276719</v>
      </c>
      <c r="J20" s="9" t="n">
        <f aca="false">H20/I20</f>
        <v>0.320209309805254</v>
      </c>
      <c r="K20" s="10" t="n">
        <v>0.04</v>
      </c>
      <c r="L20" s="8" t="n">
        <v>90191</v>
      </c>
      <c r="M20" s="9" t="n">
        <f aca="false">L20/I20</f>
        <v>0.325929914461963</v>
      </c>
      <c r="N20" s="8" t="n">
        <v>90713</v>
      </c>
      <c r="O20" s="2" t="n">
        <v>0.71</v>
      </c>
      <c r="P20" s="2" t="n">
        <v>0.36</v>
      </c>
      <c r="Q20" s="10" t="n">
        <f aca="false">L20/H20-1</f>
        <v>0.0178652040447815</v>
      </c>
      <c r="R20" s="10" t="n">
        <f aca="false">ABS(Q20)</f>
        <v>0.0178652040447815</v>
      </c>
      <c r="S20" s="2" t="s">
        <v>43</v>
      </c>
      <c r="T20" s="2" t="n">
        <v>0.54</v>
      </c>
      <c r="U20" s="2" t="n">
        <v>1.09</v>
      </c>
    </row>
    <row r="21" customFormat="false" ht="15" hidden="false" customHeight="false" outlineLevel="0" collapsed="false">
      <c r="A21" s="2" t="s">
        <v>37</v>
      </c>
      <c r="B21" s="2" t="s">
        <v>68</v>
      </c>
      <c r="C21" s="2" t="s">
        <v>39</v>
      </c>
      <c r="D21" s="2" t="s">
        <v>40</v>
      </c>
      <c r="E21" s="2" t="n">
        <v>30</v>
      </c>
      <c r="F21" s="2" t="s">
        <v>55</v>
      </c>
      <c r="G21" s="2" t="s">
        <v>56</v>
      </c>
      <c r="H21" s="8" t="n">
        <v>71229</v>
      </c>
      <c r="I21" s="8" t="n">
        <v>220073</v>
      </c>
      <c r="J21" s="9" t="n">
        <f aca="false">H21/I21</f>
        <v>0.323660785284883</v>
      </c>
      <c r="K21" s="10" t="n">
        <v>0.042</v>
      </c>
      <c r="L21" s="8" t="n">
        <v>71810</v>
      </c>
      <c r="M21" s="9" t="n">
        <f aca="false">L21/I21</f>
        <v>0.326300818364815</v>
      </c>
      <c r="N21" s="8" t="n">
        <v>72114</v>
      </c>
      <c r="O21" s="2" t="n">
        <v>0.71</v>
      </c>
      <c r="P21" s="2" t="n">
        <v>0.36</v>
      </c>
      <c r="Q21" s="10" t="n">
        <f aca="false">L21/H21-1</f>
        <v>0.00815679007145964</v>
      </c>
      <c r="R21" s="10" t="n">
        <f aca="false">ABS(Q21)</f>
        <v>0.00815679007145964</v>
      </c>
      <c r="S21" s="2" t="s">
        <v>43</v>
      </c>
      <c r="T21" s="2" t="n">
        <v>0.51</v>
      </c>
      <c r="U21" s="2" t="n">
        <v>1.062</v>
      </c>
    </row>
    <row r="22" customFormat="false" ht="15" hidden="false" customHeight="false" outlineLevel="0" collapsed="false">
      <c r="A22" s="2" t="s">
        <v>69</v>
      </c>
      <c r="B22" s="2" t="s">
        <v>38</v>
      </c>
      <c r="C22" s="2" t="s">
        <v>39</v>
      </c>
      <c r="D22" s="2" t="s">
        <v>40</v>
      </c>
      <c r="E22" s="2" t="n">
        <v>27</v>
      </c>
      <c r="F22" s="2" t="s">
        <v>70</v>
      </c>
      <c r="G22" s="2" t="s">
        <v>71</v>
      </c>
      <c r="H22" s="8" t="n">
        <v>62000</v>
      </c>
      <c r="I22" s="8" t="n">
        <v>108262</v>
      </c>
      <c r="J22" s="9" t="n">
        <f aca="false">H22/I22</f>
        <v>0.572684783211099</v>
      </c>
      <c r="K22" s="10" t="n">
        <v>0</v>
      </c>
      <c r="L22" s="8" t="n">
        <v>56371</v>
      </c>
      <c r="M22" s="9" t="n">
        <f aca="false">L22/I22</f>
        <v>0.520690547006336</v>
      </c>
      <c r="N22" s="8" t="n">
        <v>53524</v>
      </c>
      <c r="O22" s="2" t="n">
        <v>0.67</v>
      </c>
      <c r="P22" s="2" t="n">
        <v>0.33</v>
      </c>
      <c r="Q22" s="10" t="n">
        <f aca="false">L22/H22-1</f>
        <v>-0.0907903225806451</v>
      </c>
      <c r="R22" s="10" t="n">
        <f aca="false">ABS(Q22)</f>
        <v>0.0907903225806451</v>
      </c>
      <c r="S22" s="2" t="s">
        <v>43</v>
      </c>
      <c r="T22" s="2" t="n">
        <v>0.16</v>
      </c>
      <c r="U22" s="2" t="n">
        <v>1.25</v>
      </c>
    </row>
    <row r="23" customFormat="false" ht="15" hidden="false" customHeight="false" outlineLevel="0" collapsed="false">
      <c r="A23" s="2" t="s">
        <v>69</v>
      </c>
      <c r="B23" s="2" t="s">
        <v>44</v>
      </c>
      <c r="C23" s="2" t="s">
        <v>39</v>
      </c>
      <c r="D23" s="2" t="s">
        <v>40</v>
      </c>
      <c r="E23" s="2" t="n">
        <v>25</v>
      </c>
      <c r="F23" s="2" t="s">
        <v>72</v>
      </c>
      <c r="G23" s="2" t="s">
        <v>73</v>
      </c>
      <c r="H23" s="8" t="n">
        <v>49450</v>
      </c>
      <c r="I23" s="8" t="n">
        <v>96677</v>
      </c>
      <c r="J23" s="9" t="n">
        <f aca="false">H23/I23</f>
        <v>0.511497046867404</v>
      </c>
      <c r="K23" s="10" t="n">
        <v>0</v>
      </c>
      <c r="L23" s="8" t="n">
        <v>49307</v>
      </c>
      <c r="M23" s="9" t="n">
        <f aca="false">L23/I23</f>
        <v>0.510017894638849</v>
      </c>
      <c r="N23" s="8" t="n">
        <v>42668</v>
      </c>
      <c r="O23" s="2" t="n">
        <v>0.67</v>
      </c>
      <c r="P23" s="2" t="n">
        <v>0.33</v>
      </c>
      <c r="Q23" s="10" t="n">
        <f aca="false">L23/H23-1</f>
        <v>-0.00289180990899895</v>
      </c>
      <c r="R23" s="10" t="n">
        <f aca="false">ABS(Q23)</f>
        <v>0.00289180990899895</v>
      </c>
      <c r="S23" s="2" t="s">
        <v>43</v>
      </c>
      <c r="T23" s="2" t="n">
        <v>0.17</v>
      </c>
      <c r="U23" s="2" t="n">
        <v>1.216</v>
      </c>
    </row>
    <row r="24" customFormat="false" ht="15" hidden="false" customHeight="false" outlineLevel="0" collapsed="false">
      <c r="A24" s="2" t="s">
        <v>69</v>
      </c>
      <c r="B24" s="2" t="s">
        <v>46</v>
      </c>
      <c r="C24" s="2" t="s">
        <v>39</v>
      </c>
      <c r="D24" s="2" t="s">
        <v>40</v>
      </c>
      <c r="E24" s="2" t="n">
        <v>31</v>
      </c>
      <c r="F24" s="2" t="s">
        <v>74</v>
      </c>
      <c r="G24" s="2" t="s">
        <v>75</v>
      </c>
      <c r="H24" s="8" t="n">
        <v>41238</v>
      </c>
      <c r="I24" s="8" t="n">
        <v>128473</v>
      </c>
      <c r="J24" s="9" t="n">
        <f aca="false">H24/I24</f>
        <v>0.320985732410701</v>
      </c>
      <c r="K24" s="10" t="n">
        <v>0</v>
      </c>
      <c r="L24" s="8" t="n">
        <v>42928</v>
      </c>
      <c r="M24" s="9" t="n">
        <f aca="false">L24/I24</f>
        <v>0.334140247367151</v>
      </c>
      <c r="N24" s="8" t="n">
        <v>43113</v>
      </c>
      <c r="O24" s="2" t="n">
        <v>0.67</v>
      </c>
      <c r="P24" s="2" t="n">
        <v>0.33</v>
      </c>
      <c r="Q24" s="10" t="n">
        <f aca="false">L24/H24-1</f>
        <v>0.0409816188951937</v>
      </c>
      <c r="R24" s="10" t="n">
        <f aca="false">ABS(Q24)</f>
        <v>0.0409816188951937</v>
      </c>
      <c r="S24" s="2" t="s">
        <v>43</v>
      </c>
      <c r="T24" s="2" t="n">
        <v>0.39</v>
      </c>
      <c r="U24" s="2" t="n">
        <v>1.121</v>
      </c>
    </row>
    <row r="25" customFormat="false" ht="15" hidden="false" customHeight="false" outlineLevel="0" collapsed="false">
      <c r="A25" s="2" t="s">
        <v>69</v>
      </c>
      <c r="B25" s="2" t="s">
        <v>76</v>
      </c>
      <c r="C25" s="2" t="s">
        <v>39</v>
      </c>
      <c r="D25" s="2" t="s">
        <v>40</v>
      </c>
      <c r="E25" s="2" t="n">
        <v>31</v>
      </c>
      <c r="F25" s="2" t="s">
        <v>77</v>
      </c>
      <c r="G25" s="2" t="s">
        <v>75</v>
      </c>
      <c r="H25" s="8" t="n">
        <v>114800</v>
      </c>
      <c r="I25" s="8" t="n">
        <v>313553</v>
      </c>
      <c r="J25" s="9" t="n">
        <f aca="false">H25/I25</f>
        <v>0.366126300816768</v>
      </c>
      <c r="K25" s="10" t="n">
        <v>0</v>
      </c>
      <c r="L25" s="8" t="n">
        <v>107183</v>
      </c>
      <c r="M25" s="9" t="n">
        <f aca="false">L25/I25</f>
        <v>0.341833756972505</v>
      </c>
      <c r="N25" s="8" t="n">
        <v>103548</v>
      </c>
      <c r="O25" s="2" t="n">
        <v>0.56</v>
      </c>
      <c r="P25" s="2" t="n">
        <v>0.35</v>
      </c>
      <c r="Q25" s="10" t="n">
        <f aca="false">L25/H25-1</f>
        <v>-0.0663501742160279</v>
      </c>
      <c r="R25" s="10" t="n">
        <f aca="false">ABS(Q25)</f>
        <v>0.0663501742160279</v>
      </c>
      <c r="S25" s="2" t="s">
        <v>43</v>
      </c>
      <c r="T25" s="2" t="n">
        <v>0.37</v>
      </c>
      <c r="U25" s="2" t="n">
        <v>1.008</v>
      </c>
    </row>
    <row r="26" customFormat="false" ht="15" hidden="false" customHeight="false" outlineLevel="0" collapsed="false">
      <c r="A26" s="2" t="s">
        <v>69</v>
      </c>
      <c r="B26" s="2" t="s">
        <v>50</v>
      </c>
      <c r="C26" s="2" t="s">
        <v>39</v>
      </c>
      <c r="D26" s="2" t="s">
        <v>40</v>
      </c>
      <c r="E26" s="2" t="n">
        <v>30</v>
      </c>
      <c r="F26" s="2" t="s">
        <v>78</v>
      </c>
      <c r="G26" s="2" t="s">
        <v>75</v>
      </c>
      <c r="H26" s="8" t="n">
        <v>128307</v>
      </c>
      <c r="I26" s="8" t="n">
        <v>369690</v>
      </c>
      <c r="J26" s="9" t="n">
        <f aca="false">H26/I26</f>
        <v>0.347066461089021</v>
      </c>
      <c r="K26" s="10" t="n">
        <v>0</v>
      </c>
      <c r="L26" s="8" t="n">
        <v>120526</v>
      </c>
      <c r="M26" s="9" t="n">
        <f aca="false">L26/I26</f>
        <v>0.326019097081338</v>
      </c>
      <c r="N26" s="8" t="n">
        <v>119668</v>
      </c>
      <c r="O26" s="2" t="n">
        <v>0.56</v>
      </c>
      <c r="P26" s="2" t="n">
        <v>0.35</v>
      </c>
      <c r="Q26" s="10" t="n">
        <f aca="false">L26/H26-1</f>
        <v>-0.0606436125854396</v>
      </c>
      <c r="R26" s="10" t="n">
        <f aca="false">ABS(Q26)</f>
        <v>0.0606436125854396</v>
      </c>
      <c r="S26" s="2" t="s">
        <v>43</v>
      </c>
      <c r="T26" s="2" t="n">
        <v>0.44</v>
      </c>
      <c r="U26" s="2" t="n">
        <v>1.036</v>
      </c>
    </row>
    <row r="27" customFormat="false" ht="15" hidden="false" customHeight="false" outlineLevel="0" collapsed="false">
      <c r="A27" s="2" t="s">
        <v>69</v>
      </c>
      <c r="B27" s="2" t="s">
        <v>52</v>
      </c>
      <c r="C27" s="2" t="s">
        <v>39</v>
      </c>
      <c r="D27" s="2" t="s">
        <v>40</v>
      </c>
      <c r="E27" s="2" t="n">
        <v>31</v>
      </c>
      <c r="F27" s="2" t="s">
        <v>78</v>
      </c>
      <c r="G27" s="2" t="s">
        <v>75</v>
      </c>
      <c r="H27" s="8" t="n">
        <v>133216</v>
      </c>
      <c r="I27" s="8" t="n">
        <v>405979</v>
      </c>
      <c r="J27" s="9" t="n">
        <f aca="false">H27/I27</f>
        <v>0.328135199111284</v>
      </c>
      <c r="K27" s="10" t="n">
        <v>0</v>
      </c>
      <c r="L27" s="8" t="n">
        <v>130857</v>
      </c>
      <c r="M27" s="9" t="n">
        <f aca="false">L27/I27</f>
        <v>0.322324553733075</v>
      </c>
      <c r="N27" s="8" t="n">
        <v>129923</v>
      </c>
      <c r="O27" s="2" t="n">
        <v>0.56</v>
      </c>
      <c r="P27" s="2" t="n">
        <v>0.4</v>
      </c>
      <c r="Q27" s="10" t="n">
        <f aca="false">L27/H27-1</f>
        <v>-0.0177080831131395</v>
      </c>
      <c r="R27" s="10" t="n">
        <f aca="false">ABS(Q27)</f>
        <v>0.0177080831131395</v>
      </c>
      <c r="S27" s="2" t="s">
        <v>43</v>
      </c>
      <c r="T27" s="2" t="n">
        <v>0.46</v>
      </c>
      <c r="U27" s="2" t="n">
        <v>1.011</v>
      </c>
    </row>
    <row r="28" customFormat="false" ht="15" hidden="false" customHeight="false" outlineLevel="0" collapsed="false">
      <c r="A28" s="2" t="s">
        <v>69</v>
      </c>
      <c r="B28" s="2" t="s">
        <v>53</v>
      </c>
      <c r="C28" s="2" t="s">
        <v>39</v>
      </c>
      <c r="D28" s="2" t="s">
        <v>40</v>
      </c>
      <c r="E28" s="2" t="n">
        <v>31</v>
      </c>
      <c r="F28" s="2" t="s">
        <v>78</v>
      </c>
      <c r="G28" s="2" t="s">
        <v>75</v>
      </c>
      <c r="H28" s="8" t="n">
        <v>129237</v>
      </c>
      <c r="I28" s="8" t="n">
        <v>407477</v>
      </c>
      <c r="J28" s="9" t="n">
        <f aca="false">H28/I28</f>
        <v>0.317163913546041</v>
      </c>
      <c r="K28" s="10" t="n">
        <v>0</v>
      </c>
      <c r="L28" s="8" t="n">
        <v>131668</v>
      </c>
      <c r="M28" s="9" t="n">
        <f aca="false">L28/I28</f>
        <v>0.32312989444803</v>
      </c>
      <c r="N28" s="8" t="n">
        <v>129875</v>
      </c>
      <c r="O28" s="2" t="n">
        <v>0.56</v>
      </c>
      <c r="P28" s="2" t="n">
        <v>0.4</v>
      </c>
      <c r="Q28" s="10" t="n">
        <f aca="false">L28/H28-1</f>
        <v>0.0188104025936844</v>
      </c>
      <c r="R28" s="10" t="n">
        <f aca="false">ABS(Q28)</f>
        <v>0.0188104025936844</v>
      </c>
      <c r="S28" s="2" t="s">
        <v>43</v>
      </c>
      <c r="T28" s="2" t="n">
        <v>0.45</v>
      </c>
      <c r="U28" s="2" t="n">
        <v>1.062</v>
      </c>
    </row>
    <row r="29" customFormat="false" ht="15" hidden="false" customHeight="false" outlineLevel="0" collapsed="false">
      <c r="A29" s="2" t="s">
        <v>69</v>
      </c>
      <c r="B29" s="2" t="s">
        <v>54</v>
      </c>
      <c r="C29" s="2" t="s">
        <v>39</v>
      </c>
      <c r="D29" s="2" t="s">
        <v>40</v>
      </c>
      <c r="E29" s="2" t="n">
        <v>30</v>
      </c>
      <c r="F29" s="2" t="s">
        <v>78</v>
      </c>
      <c r="G29" s="2" t="s">
        <v>75</v>
      </c>
      <c r="H29" s="8" t="n">
        <v>93058</v>
      </c>
      <c r="I29" s="8" t="n">
        <v>279949</v>
      </c>
      <c r="J29" s="9" t="n">
        <f aca="false">H29/I29</f>
        <v>0.332410546206631</v>
      </c>
      <c r="K29" s="10" t="n">
        <v>0</v>
      </c>
      <c r="L29" s="8" t="n">
        <v>96899</v>
      </c>
      <c r="M29" s="9" t="n">
        <f aca="false">L29/I29</f>
        <v>0.346130902414368</v>
      </c>
      <c r="N29" s="8" t="n">
        <v>92937</v>
      </c>
      <c r="O29" s="2" t="n">
        <v>0.56</v>
      </c>
      <c r="P29" s="2" t="n">
        <v>0.4</v>
      </c>
      <c r="Q29" s="10" t="n">
        <f aca="false">L29/H29-1</f>
        <v>0.0412753336628768</v>
      </c>
      <c r="R29" s="10" t="n">
        <f aca="false">ABS(Q29)</f>
        <v>0.0412753336628768</v>
      </c>
      <c r="S29" s="2" t="s">
        <v>43</v>
      </c>
      <c r="T29" s="2" t="n">
        <v>0.36</v>
      </c>
      <c r="U29" s="2" t="n">
        <v>1.045</v>
      </c>
    </row>
    <row r="30" customFormat="false" ht="15" hidden="false" customHeight="false" outlineLevel="0" collapsed="false">
      <c r="A30" s="2" t="s">
        <v>69</v>
      </c>
      <c r="B30" s="2" t="s">
        <v>57</v>
      </c>
      <c r="C30" s="2" t="s">
        <v>39</v>
      </c>
      <c r="D30" s="2" t="s">
        <v>40</v>
      </c>
      <c r="E30" s="2" t="n">
        <v>31</v>
      </c>
      <c r="F30" s="2" t="s">
        <v>79</v>
      </c>
      <c r="G30" s="2" t="s">
        <v>75</v>
      </c>
      <c r="H30" s="8" t="n">
        <v>61205</v>
      </c>
      <c r="I30" s="8" t="n">
        <v>188832</v>
      </c>
      <c r="J30" s="9" t="n">
        <f aca="false">H30/I30</f>
        <v>0.324124089137434</v>
      </c>
      <c r="K30" s="10" t="n">
        <v>0</v>
      </c>
      <c r="L30" s="8" t="n">
        <v>73523</v>
      </c>
      <c r="M30" s="9" t="n">
        <f aca="false">L30/I30</f>
        <v>0.389356676834435</v>
      </c>
      <c r="N30" s="8" t="n">
        <v>62270</v>
      </c>
      <c r="O30" s="2" t="n">
        <v>0.45</v>
      </c>
      <c r="P30" s="2" t="n">
        <v>0.22</v>
      </c>
      <c r="Q30" s="10" t="n">
        <f aca="false">L30/H30-1</f>
        <v>0.201258067151377</v>
      </c>
      <c r="R30" s="10" t="n">
        <f aca="false">ABS(Q30)</f>
        <v>0.201258067151377</v>
      </c>
      <c r="S30" s="2" t="s">
        <v>43</v>
      </c>
      <c r="T30" s="2" t="n">
        <v>0.28</v>
      </c>
      <c r="U30" s="2" t="n">
        <v>1.25</v>
      </c>
    </row>
    <row r="31" customFormat="false" ht="15" hidden="false" customHeight="false" outlineLevel="0" collapsed="false">
      <c r="A31" s="2" t="s">
        <v>69</v>
      </c>
      <c r="B31" s="2" t="s">
        <v>58</v>
      </c>
      <c r="C31" s="2" t="s">
        <v>39</v>
      </c>
      <c r="D31" s="2" t="s">
        <v>40</v>
      </c>
      <c r="E31" s="2" t="n">
        <v>30</v>
      </c>
      <c r="F31" s="2" t="s">
        <v>79</v>
      </c>
      <c r="G31" s="2" t="s">
        <v>75</v>
      </c>
      <c r="H31" s="8" t="n">
        <v>42811</v>
      </c>
      <c r="I31" s="8" t="n">
        <v>117478</v>
      </c>
      <c r="J31" s="9" t="n">
        <f aca="false">H31/I31</f>
        <v>0.364417167469654</v>
      </c>
      <c r="K31" s="10" t="n">
        <v>0</v>
      </c>
      <c r="L31" s="8" t="n">
        <v>48836</v>
      </c>
      <c r="M31" s="9" t="n">
        <f aca="false">L31/I31</f>
        <v>0.415703365736563</v>
      </c>
      <c r="N31" s="8" t="n">
        <v>43035</v>
      </c>
      <c r="O31" s="2" t="n">
        <v>0.45</v>
      </c>
      <c r="P31" s="2" t="n">
        <v>0.22</v>
      </c>
      <c r="Q31" s="10" t="n">
        <f aca="false">L31/H31-1</f>
        <v>0.140734857863633</v>
      </c>
      <c r="R31" s="10" t="n">
        <f aca="false">ABS(Q31)</f>
        <v>0.140734857863633</v>
      </c>
      <c r="S31" s="2" t="s">
        <v>43</v>
      </c>
      <c r="T31" s="2" t="n">
        <v>0.26</v>
      </c>
      <c r="U31" s="2" t="n">
        <v>1.014</v>
      </c>
    </row>
    <row r="32" customFormat="false" ht="15" hidden="false" customHeight="false" outlineLevel="0" collapsed="false">
      <c r="A32" s="2" t="s">
        <v>69</v>
      </c>
      <c r="B32" s="2" t="s">
        <v>59</v>
      </c>
      <c r="C32" s="2" t="s">
        <v>39</v>
      </c>
      <c r="D32" s="2" t="s">
        <v>40</v>
      </c>
      <c r="E32" s="2" t="n">
        <v>31</v>
      </c>
      <c r="F32" s="2" t="s">
        <v>79</v>
      </c>
      <c r="G32" s="2" t="s">
        <v>75</v>
      </c>
      <c r="H32" s="8" t="n">
        <v>32901</v>
      </c>
      <c r="I32" s="8" t="n">
        <v>84142</v>
      </c>
      <c r="J32" s="9" t="n">
        <f aca="false">H32/I32</f>
        <v>0.391017565543961</v>
      </c>
      <c r="K32" s="10" t="n">
        <v>0</v>
      </c>
      <c r="L32" s="8" t="n">
        <v>32829</v>
      </c>
      <c r="M32" s="9" t="n">
        <f aca="false">L32/I32</f>
        <v>0.390161869221079</v>
      </c>
      <c r="N32" s="8" t="n">
        <v>32843</v>
      </c>
      <c r="O32" s="2" t="n">
        <v>0.45</v>
      </c>
      <c r="P32" s="2" t="n">
        <v>0.22</v>
      </c>
      <c r="Q32" s="10" t="n">
        <f aca="false">L32/H32-1</f>
        <v>-0.00218838333181359</v>
      </c>
      <c r="R32" s="10" t="n">
        <f aca="false">ABS(Q32)</f>
        <v>0.00218838333181359</v>
      </c>
      <c r="S32" s="2" t="s">
        <v>43</v>
      </c>
      <c r="T32" s="2" t="n">
        <v>0.26</v>
      </c>
      <c r="U32" s="2" t="n">
        <v>1.031</v>
      </c>
    </row>
    <row r="33" customFormat="false" ht="15" hidden="false" customHeight="false" outlineLevel="0" collapsed="false">
      <c r="A33" s="2" t="s">
        <v>69</v>
      </c>
      <c r="B33" s="2" t="s">
        <v>60</v>
      </c>
      <c r="C33" s="2" t="s">
        <v>39</v>
      </c>
      <c r="D33" s="2" t="s">
        <v>40</v>
      </c>
      <c r="E33" s="2" t="n">
        <v>31</v>
      </c>
      <c r="F33" s="2" t="s">
        <v>79</v>
      </c>
      <c r="G33" s="2" t="s">
        <v>75</v>
      </c>
      <c r="H33" s="8" t="n">
        <v>27723</v>
      </c>
      <c r="I33" s="8" t="n">
        <v>67564</v>
      </c>
      <c r="J33" s="9" t="n">
        <f aca="false">H33/I33</f>
        <v>0.410322065005032</v>
      </c>
      <c r="K33" s="10" t="n">
        <v>0</v>
      </c>
      <c r="L33" s="8" t="n">
        <v>26306</v>
      </c>
      <c r="M33" s="9" t="n">
        <f aca="false">L33/I33</f>
        <v>0.389349357646084</v>
      </c>
      <c r="N33" s="8" t="n">
        <v>26316</v>
      </c>
      <c r="O33" s="2" t="n">
        <v>0.45</v>
      </c>
      <c r="P33" s="2" t="n">
        <v>0.3</v>
      </c>
      <c r="Q33" s="10" t="n">
        <f aca="false">L33/H33-1</f>
        <v>-0.0511127944306172</v>
      </c>
      <c r="R33" s="10" t="n">
        <f aca="false">ABS(Q33)</f>
        <v>0.0511127944306172</v>
      </c>
      <c r="S33" s="2" t="s">
        <v>43</v>
      </c>
      <c r="T33" s="2" t="n">
        <v>0.23</v>
      </c>
      <c r="U33" s="2" t="n">
        <v>1.015</v>
      </c>
    </row>
    <row r="34" customFormat="false" ht="15" hidden="false" customHeight="false" outlineLevel="0" collapsed="false">
      <c r="A34" s="2" t="s">
        <v>69</v>
      </c>
      <c r="B34" s="2" t="s">
        <v>61</v>
      </c>
      <c r="C34" s="2" t="s">
        <v>39</v>
      </c>
      <c r="D34" s="2" t="s">
        <v>40</v>
      </c>
      <c r="E34" s="2" t="n">
        <v>28</v>
      </c>
      <c r="F34" s="2" t="s">
        <v>79</v>
      </c>
      <c r="G34" s="2" t="s">
        <v>75</v>
      </c>
      <c r="H34" s="8" t="n">
        <v>30351</v>
      </c>
      <c r="I34" s="8" t="n">
        <v>61809</v>
      </c>
      <c r="J34" s="9" t="n">
        <f aca="false">H34/I34</f>
        <v>0.491044993447556</v>
      </c>
      <c r="K34" s="10" t="n">
        <v>0</v>
      </c>
      <c r="L34" s="8" t="n">
        <v>24245</v>
      </c>
      <c r="M34" s="9" t="n">
        <f aca="false">L34/I34</f>
        <v>0.392256791082205</v>
      </c>
      <c r="N34" s="8" t="n">
        <v>32093</v>
      </c>
      <c r="O34" s="2" t="n">
        <v>0.45</v>
      </c>
      <c r="P34" s="2" t="n">
        <v>0.3</v>
      </c>
      <c r="Q34" s="10" t="n">
        <f aca="false">L34/H34-1</f>
        <v>-0.201179532799578</v>
      </c>
      <c r="R34" s="10" t="n">
        <f aca="false">ABS(Q34)</f>
        <v>0.201179532799578</v>
      </c>
      <c r="S34" s="2" t="s">
        <v>43</v>
      </c>
      <c r="T34" s="2" t="n">
        <v>0.23</v>
      </c>
      <c r="U34" s="2" t="n">
        <v>1.087</v>
      </c>
    </row>
    <row r="35" customFormat="false" ht="15" hidden="false" customHeight="false" outlineLevel="0" collapsed="false">
      <c r="A35" s="2" t="s">
        <v>80</v>
      </c>
      <c r="B35" s="2" t="s">
        <v>44</v>
      </c>
      <c r="C35" s="2" t="s">
        <v>39</v>
      </c>
      <c r="D35" s="2" t="s">
        <v>40</v>
      </c>
      <c r="E35" s="2" t="n">
        <v>26</v>
      </c>
      <c r="F35" s="2" t="s">
        <v>81</v>
      </c>
      <c r="G35" s="2" t="s">
        <v>42</v>
      </c>
      <c r="H35" s="8" t="n">
        <v>43500</v>
      </c>
      <c r="I35" s="8" t="n">
        <v>64195</v>
      </c>
      <c r="J35" s="9" t="n">
        <f aca="false">H35/I35</f>
        <v>0.677622867824597</v>
      </c>
      <c r="K35" s="10" t="n">
        <v>0.061</v>
      </c>
      <c r="L35" s="8" t="n">
        <v>31013</v>
      </c>
      <c r="M35" s="9" t="n">
        <f aca="false">L35/I35</f>
        <v>0.483106160915959</v>
      </c>
      <c r="N35" s="8" t="n">
        <v>26351</v>
      </c>
      <c r="O35" s="2" t="n">
        <v>0.45</v>
      </c>
      <c r="P35" s="2" t="n">
        <v>0.2</v>
      </c>
      <c r="Q35" s="10" t="n">
        <f aca="false">L35/H35-1</f>
        <v>-0.287057471264368</v>
      </c>
      <c r="R35" s="10" t="n">
        <f aca="false">ABS(Q35)</f>
        <v>0.287057471264368</v>
      </c>
      <c r="S35" s="2" t="s">
        <v>43</v>
      </c>
      <c r="T35" s="2" t="n">
        <v>0.29</v>
      </c>
      <c r="U35" s="2" t="n">
        <v>1.25</v>
      </c>
    </row>
    <row r="36" customFormat="false" ht="15" hidden="false" customHeight="false" outlineLevel="0" collapsed="false">
      <c r="A36" s="2" t="s">
        <v>80</v>
      </c>
      <c r="B36" s="2" t="s">
        <v>46</v>
      </c>
      <c r="C36" s="2" t="s">
        <v>39</v>
      </c>
      <c r="D36" s="2" t="s">
        <v>40</v>
      </c>
      <c r="E36" s="2" t="n">
        <v>31</v>
      </c>
      <c r="F36" s="2" t="s">
        <v>82</v>
      </c>
      <c r="G36" s="2" t="s">
        <v>42</v>
      </c>
      <c r="H36" s="8" t="n">
        <v>21240</v>
      </c>
      <c r="I36" s="8" t="n">
        <v>64442</v>
      </c>
      <c r="J36" s="9" t="n">
        <f aca="false">H36/I36</f>
        <v>0.329598708916545</v>
      </c>
      <c r="K36" s="10" t="n">
        <v>0.22</v>
      </c>
      <c r="L36" s="8" t="n">
        <v>25683</v>
      </c>
      <c r="M36" s="9" t="n">
        <f aca="false">L36/I36</f>
        <v>0.398544427547252</v>
      </c>
      <c r="N36" s="8" t="n">
        <v>26503</v>
      </c>
      <c r="O36" s="2" t="n">
        <v>0.45</v>
      </c>
      <c r="P36" s="2" t="n">
        <v>0.2</v>
      </c>
      <c r="Q36" s="10" t="n">
        <f aca="false">L36/H36-1</f>
        <v>0.209180790960452</v>
      </c>
      <c r="R36" s="10" t="n">
        <f aca="false">ABS(Q36)</f>
        <v>0.209180790960452</v>
      </c>
      <c r="S36" s="2" t="s">
        <v>43</v>
      </c>
      <c r="T36" s="2" t="n">
        <v>0.21</v>
      </c>
      <c r="U36" s="2" t="n">
        <v>0.966</v>
      </c>
    </row>
    <row r="37" customFormat="false" ht="15" hidden="false" customHeight="false" outlineLevel="0" collapsed="false">
      <c r="A37" s="2" t="s">
        <v>80</v>
      </c>
      <c r="B37" s="2" t="s">
        <v>50</v>
      </c>
      <c r="C37" s="2" t="s">
        <v>39</v>
      </c>
      <c r="D37" s="2" t="s">
        <v>40</v>
      </c>
      <c r="E37" s="2" t="n">
        <v>30</v>
      </c>
      <c r="F37" s="2" t="s">
        <v>82</v>
      </c>
      <c r="G37" s="2" t="s">
        <v>42</v>
      </c>
      <c r="H37" s="8" t="n">
        <v>57528</v>
      </c>
      <c r="I37" s="8" t="n">
        <v>160969</v>
      </c>
      <c r="J37" s="9" t="n">
        <f aca="false">H37/I37</f>
        <v>0.357385583559567</v>
      </c>
      <c r="K37" s="10" t="n">
        <v>0.229</v>
      </c>
      <c r="L37" s="8" t="n">
        <v>63708</v>
      </c>
      <c r="M37" s="9" t="n">
        <f aca="false">L37/I37</f>
        <v>0.3957780690692</v>
      </c>
      <c r="N37" s="8" t="n">
        <v>54738</v>
      </c>
      <c r="O37" s="2" t="n">
        <v>0.45</v>
      </c>
      <c r="P37" s="2" t="n">
        <v>0.18</v>
      </c>
      <c r="Q37" s="10" t="n">
        <f aca="false">L37/H37-1</f>
        <v>0.107425949103045</v>
      </c>
      <c r="R37" s="10" t="n">
        <f aca="false">ABS(Q37)</f>
        <v>0.107425949103045</v>
      </c>
      <c r="S37" s="2" t="s">
        <v>43</v>
      </c>
      <c r="T37" s="2" t="n">
        <v>0.28</v>
      </c>
      <c r="U37" s="2" t="n">
        <v>1.068</v>
      </c>
    </row>
    <row r="38" customFormat="false" ht="15" hidden="false" customHeight="false" outlineLevel="0" collapsed="false">
      <c r="A38" s="2" t="s">
        <v>80</v>
      </c>
      <c r="B38" s="2" t="s">
        <v>52</v>
      </c>
      <c r="C38" s="2" t="s">
        <v>39</v>
      </c>
      <c r="D38" s="2" t="s">
        <v>40</v>
      </c>
      <c r="E38" s="2" t="n">
        <v>31</v>
      </c>
      <c r="F38" s="2" t="s">
        <v>51</v>
      </c>
      <c r="G38" s="2" t="s">
        <v>83</v>
      </c>
      <c r="H38" s="8" t="n">
        <v>55134</v>
      </c>
      <c r="I38" s="8" t="n">
        <v>156120</v>
      </c>
      <c r="J38" s="9" t="n">
        <f aca="false">H38/I38</f>
        <v>0.35315142198309</v>
      </c>
      <c r="K38" s="10" t="n">
        <v>0.219</v>
      </c>
      <c r="L38" s="8" t="n">
        <v>46968</v>
      </c>
      <c r="M38" s="9" t="n">
        <f aca="false">L38/I38</f>
        <v>0.300845503458878</v>
      </c>
      <c r="N38" s="8" t="n">
        <v>49055</v>
      </c>
      <c r="O38" s="2" t="n">
        <v>0.73</v>
      </c>
      <c r="P38" s="2" t="n">
        <v>0.34</v>
      </c>
      <c r="Q38" s="10" t="n">
        <f aca="false">L38/H38-1</f>
        <v>-0.148111872891501</v>
      </c>
      <c r="R38" s="10" t="n">
        <f aca="false">ABS(Q38)</f>
        <v>0.148111872891501</v>
      </c>
      <c r="S38" s="2" t="s">
        <v>43</v>
      </c>
      <c r="T38" s="2" t="n">
        <v>0.47</v>
      </c>
      <c r="U38" s="2" t="n">
        <v>1.094</v>
      </c>
    </row>
    <row r="39" customFormat="false" ht="15" hidden="false" customHeight="false" outlineLevel="0" collapsed="false">
      <c r="A39" s="2" t="s">
        <v>80</v>
      </c>
      <c r="B39" s="2" t="s">
        <v>53</v>
      </c>
      <c r="C39" s="2" t="s">
        <v>39</v>
      </c>
      <c r="D39" s="2" t="s">
        <v>40</v>
      </c>
      <c r="E39" s="2" t="n">
        <v>31</v>
      </c>
      <c r="F39" s="2" t="s">
        <v>84</v>
      </c>
      <c r="G39" s="2" t="s">
        <v>85</v>
      </c>
      <c r="H39" s="8" t="n">
        <v>45530</v>
      </c>
      <c r="I39" s="8" t="n">
        <v>154950</v>
      </c>
      <c r="J39" s="9" t="n">
        <f aca="false">H39/I39</f>
        <v>0.293836721523072</v>
      </c>
      <c r="K39" s="10" t="n">
        <v>0.204</v>
      </c>
      <c r="L39" s="8" t="n">
        <v>46710</v>
      </c>
      <c r="M39" s="9" t="n">
        <f aca="false">L39/I39</f>
        <v>0.301452081316554</v>
      </c>
      <c r="N39" s="8" t="n">
        <v>46593</v>
      </c>
      <c r="O39" s="2" t="n">
        <v>0.73</v>
      </c>
      <c r="P39" s="2" t="n">
        <v>0.34</v>
      </c>
      <c r="Q39" s="10" t="n">
        <f aca="false">L39/H39-1</f>
        <v>0.025916977816824</v>
      </c>
      <c r="R39" s="10" t="n">
        <f aca="false">ABS(Q39)</f>
        <v>0.025916977816824</v>
      </c>
      <c r="S39" s="2" t="s">
        <v>43</v>
      </c>
      <c r="T39" s="2" t="n">
        <v>0.46</v>
      </c>
      <c r="U39" s="2" t="n">
        <v>1.009</v>
      </c>
    </row>
    <row r="40" customFormat="false" ht="15" hidden="false" customHeight="false" outlineLevel="0" collapsed="false">
      <c r="A40" s="2" t="s">
        <v>80</v>
      </c>
      <c r="B40" s="2" t="s">
        <v>54</v>
      </c>
      <c r="C40" s="2" t="s">
        <v>39</v>
      </c>
      <c r="D40" s="2" t="s">
        <v>40</v>
      </c>
      <c r="E40" s="2" t="n">
        <v>30</v>
      </c>
      <c r="F40" s="2" t="s">
        <v>55</v>
      </c>
      <c r="G40" s="2" t="s">
        <v>85</v>
      </c>
      <c r="H40" s="8" t="n">
        <v>35467</v>
      </c>
      <c r="I40" s="8" t="n">
        <v>115359</v>
      </c>
      <c r="J40" s="9" t="n">
        <f aca="false">H40/I40</f>
        <v>0.307448920326979</v>
      </c>
      <c r="K40" s="10" t="n">
        <v>0.229</v>
      </c>
      <c r="L40" s="8" t="n">
        <v>36555</v>
      </c>
      <c r="M40" s="9" t="n">
        <f aca="false">L40/I40</f>
        <v>0.316880347437131</v>
      </c>
      <c r="N40" s="8" t="n">
        <v>36377</v>
      </c>
      <c r="O40" s="2" t="n">
        <v>0.73</v>
      </c>
      <c r="P40" s="2" t="n">
        <v>0.34</v>
      </c>
      <c r="Q40" s="10" t="n">
        <f aca="false">L40/H40-1</f>
        <v>0.0306764034172611</v>
      </c>
      <c r="R40" s="10" t="n">
        <f aca="false">ABS(Q40)</f>
        <v>0.0306764034172611</v>
      </c>
      <c r="S40" s="2" t="s">
        <v>43</v>
      </c>
      <c r="T40" s="2" t="n">
        <v>0.39</v>
      </c>
      <c r="U40" s="2" t="n">
        <v>1.052</v>
      </c>
    </row>
    <row r="41" customFormat="false" ht="15" hidden="false" customHeight="false" outlineLevel="0" collapsed="false">
      <c r="A41" s="2" t="s">
        <v>80</v>
      </c>
      <c r="B41" s="2" t="s">
        <v>57</v>
      </c>
      <c r="C41" s="2" t="s">
        <v>39</v>
      </c>
      <c r="D41" s="2" t="s">
        <v>40</v>
      </c>
      <c r="E41" s="2" t="n">
        <v>31</v>
      </c>
      <c r="F41" s="2" t="s">
        <v>49</v>
      </c>
      <c r="G41" s="2" t="s">
        <v>86</v>
      </c>
      <c r="H41" s="8" t="n">
        <v>26738</v>
      </c>
      <c r="I41" s="8" t="n">
        <v>78396</v>
      </c>
      <c r="J41" s="9" t="n">
        <f aca="false">H41/I41</f>
        <v>0.34106331955712</v>
      </c>
      <c r="K41" s="10" t="n">
        <v>0.274</v>
      </c>
      <c r="L41" s="8" t="n">
        <v>30152</v>
      </c>
      <c r="M41" s="9" t="n">
        <f aca="false">L41/I41</f>
        <v>0.384611459768356</v>
      </c>
      <c r="N41" s="8" t="n">
        <v>28705</v>
      </c>
      <c r="O41" s="2" t="n">
        <v>0.45</v>
      </c>
      <c r="P41" s="2" t="n">
        <v>0.25</v>
      </c>
      <c r="Q41" s="10" t="n">
        <f aca="false">L41/H41-1</f>
        <v>0.127683446779864</v>
      </c>
      <c r="R41" s="10" t="n">
        <f aca="false">ABS(Q41)</f>
        <v>0.127683446779864</v>
      </c>
      <c r="S41" s="2" t="s">
        <v>43</v>
      </c>
      <c r="T41" s="2" t="n">
        <v>0.25</v>
      </c>
      <c r="U41" s="2" t="n">
        <v>1.009</v>
      </c>
    </row>
    <row r="42" customFormat="false" ht="15" hidden="false" customHeight="false" outlineLevel="0" collapsed="false">
      <c r="A42" s="2" t="s">
        <v>80</v>
      </c>
      <c r="B42" s="2" t="s">
        <v>58</v>
      </c>
      <c r="C42" s="2" t="s">
        <v>39</v>
      </c>
      <c r="D42" s="2" t="s">
        <v>40</v>
      </c>
      <c r="E42" s="2" t="n">
        <v>30</v>
      </c>
      <c r="F42" s="2" t="s">
        <v>87</v>
      </c>
      <c r="G42" s="2" t="s">
        <v>88</v>
      </c>
      <c r="H42" s="8" t="n">
        <v>20998</v>
      </c>
      <c r="I42" s="8" t="n">
        <v>67858</v>
      </c>
      <c r="J42" s="9" t="n">
        <f aca="false">H42/I42</f>
        <v>0.309440301806714</v>
      </c>
      <c r="K42" s="10" t="n">
        <v>0.225</v>
      </c>
      <c r="L42" s="8" t="n">
        <v>23620</v>
      </c>
      <c r="M42" s="9" t="n">
        <f aca="false">L42/I42</f>
        <v>0.348079813728669</v>
      </c>
      <c r="N42" s="8" t="n">
        <v>20497</v>
      </c>
      <c r="O42" s="2" t="n">
        <v>0.45</v>
      </c>
      <c r="P42" s="2" t="n">
        <v>0.25</v>
      </c>
      <c r="Q42" s="10" t="n">
        <f aca="false">L42/H42-1</f>
        <v>0.124869035146205</v>
      </c>
      <c r="R42" s="10" t="n">
        <f aca="false">ABS(Q42)</f>
        <v>0.124869035146205</v>
      </c>
      <c r="S42" s="2" t="s">
        <v>43</v>
      </c>
      <c r="T42" s="2" t="n">
        <v>0.28</v>
      </c>
      <c r="U42" s="2" t="n">
        <v>1.033</v>
      </c>
    </row>
    <row r="43" customFormat="false" ht="15" hidden="false" customHeight="false" outlineLevel="0" collapsed="false">
      <c r="A43" s="2" t="s">
        <v>80</v>
      </c>
      <c r="B43" s="2" t="s">
        <v>59</v>
      </c>
      <c r="C43" s="2" t="s">
        <v>39</v>
      </c>
      <c r="D43" s="2" t="s">
        <v>40</v>
      </c>
      <c r="E43" s="2" t="n">
        <v>27</v>
      </c>
      <c r="F43" s="2" t="s">
        <v>89</v>
      </c>
      <c r="G43" s="2" t="s">
        <v>88</v>
      </c>
      <c r="H43" s="8" t="n">
        <v>17099</v>
      </c>
      <c r="I43" s="8" t="n">
        <v>52560</v>
      </c>
      <c r="J43" s="9" t="n">
        <f aca="false">H43/I43</f>
        <v>0.325323439878234</v>
      </c>
      <c r="K43" s="10" t="n">
        <v>0.159</v>
      </c>
      <c r="L43" s="8" t="n">
        <v>16854</v>
      </c>
      <c r="M43" s="9" t="n">
        <f aca="false">L43/I43</f>
        <v>0.320662100456621</v>
      </c>
      <c r="N43" s="8" t="n">
        <v>16217</v>
      </c>
      <c r="O43" s="2" t="n">
        <v>0.45</v>
      </c>
      <c r="P43" s="2" t="n">
        <v>0.25</v>
      </c>
      <c r="Q43" s="10" t="n">
        <f aca="false">L43/H43-1</f>
        <v>-0.0143283232937599</v>
      </c>
      <c r="R43" s="10" t="n">
        <f aca="false">ABS(Q43)</f>
        <v>0.0143283232937599</v>
      </c>
      <c r="S43" s="2" t="s">
        <v>43</v>
      </c>
      <c r="T43" s="2" t="n">
        <v>0.3</v>
      </c>
      <c r="U43" s="2" t="n">
        <v>1.002</v>
      </c>
    </row>
    <row r="44" customFormat="false" ht="15" hidden="false" customHeight="false" outlineLevel="0" collapsed="false">
      <c r="A44" s="2" t="s">
        <v>90</v>
      </c>
      <c r="B44" s="2" t="s">
        <v>44</v>
      </c>
      <c r="C44" s="2" t="s">
        <v>39</v>
      </c>
      <c r="D44" s="2" t="s">
        <v>40</v>
      </c>
      <c r="E44" s="2" t="n">
        <v>28</v>
      </c>
      <c r="F44" s="2" t="s">
        <v>91</v>
      </c>
      <c r="G44" s="2" t="s">
        <v>92</v>
      </c>
      <c r="H44" s="8" t="n">
        <v>63651</v>
      </c>
      <c r="I44" s="8" t="n">
        <v>183526</v>
      </c>
      <c r="J44" s="9" t="n">
        <f aca="false">H44/I44</f>
        <v>0.346822793500648</v>
      </c>
      <c r="K44" s="10" t="n">
        <v>0</v>
      </c>
      <c r="L44" s="8" t="n">
        <v>57953</v>
      </c>
      <c r="M44" s="9" t="n">
        <f aca="false">L44/I44</f>
        <v>0.315775421466168</v>
      </c>
      <c r="N44" s="8" t="n">
        <v>59087</v>
      </c>
      <c r="O44" s="2" t="n">
        <v>0.45</v>
      </c>
      <c r="P44" s="2" t="n">
        <v>0.21</v>
      </c>
      <c r="Q44" s="10" t="n">
        <f aca="false">L44/H44-1</f>
        <v>-0.0895194105355768</v>
      </c>
      <c r="R44" s="10" t="n">
        <f aca="false">ABS(Q44)</f>
        <v>0.0895194105355768</v>
      </c>
      <c r="S44" s="2" t="s">
        <v>43</v>
      </c>
      <c r="T44" s="2" t="n">
        <v>0.34</v>
      </c>
      <c r="U44" s="2" t="n">
        <v>1.051</v>
      </c>
    </row>
    <row r="45" customFormat="false" ht="15" hidden="false" customHeight="false" outlineLevel="0" collapsed="false">
      <c r="A45" s="2" t="s">
        <v>90</v>
      </c>
      <c r="B45" s="2" t="s">
        <v>46</v>
      </c>
      <c r="C45" s="2" t="s">
        <v>39</v>
      </c>
      <c r="D45" s="2" t="s">
        <v>40</v>
      </c>
      <c r="E45" s="2" t="n">
        <v>30</v>
      </c>
      <c r="F45" s="2" t="s">
        <v>93</v>
      </c>
      <c r="G45" s="2" t="s">
        <v>92</v>
      </c>
      <c r="H45" s="8" t="n">
        <v>78309</v>
      </c>
      <c r="I45" s="8" t="n">
        <v>231598</v>
      </c>
      <c r="J45" s="9" t="n">
        <f aca="false">H45/I45</f>
        <v>0.33812468156029</v>
      </c>
      <c r="K45" s="10" t="n">
        <v>0</v>
      </c>
      <c r="L45" s="8" t="n">
        <v>80560</v>
      </c>
      <c r="M45" s="9" t="n">
        <f aca="false">L45/I45</f>
        <v>0.347844109189199</v>
      </c>
      <c r="N45" s="8" t="n">
        <v>75843</v>
      </c>
      <c r="O45" s="2" t="n">
        <v>0.45</v>
      </c>
      <c r="P45" s="2" t="n">
        <v>0.21</v>
      </c>
      <c r="Q45" s="10" t="n">
        <f aca="false">L45/H45-1</f>
        <v>0.0287450995415597</v>
      </c>
      <c r="R45" s="10" t="n">
        <f aca="false">ABS(Q45)</f>
        <v>0.0287450995415597</v>
      </c>
      <c r="S45" s="2" t="s">
        <v>43</v>
      </c>
      <c r="T45" s="2" t="n">
        <v>0.31</v>
      </c>
      <c r="U45" s="2" t="n">
        <v>1.019</v>
      </c>
    </row>
    <row r="46" customFormat="false" ht="15" hidden="false" customHeight="false" outlineLevel="0" collapsed="false">
      <c r="A46" s="2" t="s">
        <v>90</v>
      </c>
      <c r="B46" s="2" t="s">
        <v>76</v>
      </c>
      <c r="C46" s="2" t="s">
        <v>39</v>
      </c>
      <c r="D46" s="2" t="s">
        <v>40</v>
      </c>
      <c r="E46" s="2" t="n">
        <v>31</v>
      </c>
      <c r="F46" s="2" t="s">
        <v>94</v>
      </c>
      <c r="G46" s="2" t="s">
        <v>92</v>
      </c>
      <c r="H46" s="8" t="n">
        <v>144953</v>
      </c>
      <c r="I46" s="8" t="n">
        <v>427984</v>
      </c>
      <c r="J46" s="9" t="n">
        <f aca="false">H46/I46</f>
        <v>0.338687894874575</v>
      </c>
      <c r="K46" s="10" t="n">
        <v>0</v>
      </c>
      <c r="L46" s="8" t="n">
        <v>134336</v>
      </c>
      <c r="M46" s="9" t="n">
        <f aca="false">L46/I46</f>
        <v>0.313880892743654</v>
      </c>
      <c r="N46" s="8" t="n">
        <v>134241</v>
      </c>
      <c r="O46" s="2" t="n">
        <v>0.61</v>
      </c>
      <c r="P46" s="2" t="n">
        <v>0.34</v>
      </c>
      <c r="Q46" s="10" t="n">
        <f aca="false">L46/H46-1</f>
        <v>-0.0732444309534814</v>
      </c>
      <c r="R46" s="10" t="n">
        <f aca="false">ABS(Q46)</f>
        <v>0.0732444309534814</v>
      </c>
      <c r="S46" s="2" t="s">
        <v>43</v>
      </c>
      <c r="T46" s="2" t="n">
        <v>0.42</v>
      </c>
      <c r="U46" s="2" t="n">
        <v>0.905</v>
      </c>
    </row>
    <row r="47" customFormat="false" ht="15" hidden="false" customHeight="false" outlineLevel="0" collapsed="false">
      <c r="A47" s="2" t="s">
        <v>90</v>
      </c>
      <c r="B47" s="2" t="s">
        <v>50</v>
      </c>
      <c r="C47" s="2" t="s">
        <v>39</v>
      </c>
      <c r="D47" s="2" t="s">
        <v>40</v>
      </c>
      <c r="E47" s="2" t="n">
        <v>30</v>
      </c>
      <c r="F47" s="2" t="s">
        <v>95</v>
      </c>
      <c r="G47" s="2" t="s">
        <v>92</v>
      </c>
      <c r="H47" s="8" t="n">
        <v>209986</v>
      </c>
      <c r="I47" s="8" t="n">
        <v>636538</v>
      </c>
      <c r="J47" s="9" t="n">
        <f aca="false">H47/I47</f>
        <v>0.329887610794642</v>
      </c>
      <c r="K47" s="10" t="n">
        <v>0</v>
      </c>
      <c r="L47" s="8" t="n">
        <v>200454</v>
      </c>
      <c r="M47" s="9" t="n">
        <f aca="false">L47/I47</f>
        <v>0.314912856734398</v>
      </c>
      <c r="N47" s="8" t="n">
        <v>198352</v>
      </c>
      <c r="O47" s="2" t="n">
        <v>0.61</v>
      </c>
      <c r="P47" s="2" t="n">
        <v>0.34</v>
      </c>
      <c r="Q47" s="10" t="n">
        <f aca="false">L47/H47-1</f>
        <v>-0.0453935024239711</v>
      </c>
      <c r="R47" s="10" t="n">
        <f aca="false">ABS(Q47)</f>
        <v>0.0453935024239711</v>
      </c>
      <c r="S47" s="2" t="s">
        <v>43</v>
      </c>
      <c r="T47" s="2" t="n">
        <v>0.46</v>
      </c>
      <c r="U47" s="2" t="n">
        <v>1.109</v>
      </c>
    </row>
    <row r="48" customFormat="false" ht="15" hidden="false" customHeight="false" outlineLevel="0" collapsed="false">
      <c r="A48" s="2" t="s">
        <v>90</v>
      </c>
      <c r="B48" s="2" t="s">
        <v>52</v>
      </c>
      <c r="C48" s="2" t="s">
        <v>39</v>
      </c>
      <c r="D48" s="2" t="s">
        <v>40</v>
      </c>
      <c r="E48" s="2" t="n">
        <v>31</v>
      </c>
      <c r="F48" s="2" t="s">
        <v>95</v>
      </c>
      <c r="G48" s="2" t="s">
        <v>92</v>
      </c>
      <c r="H48" s="8" t="n">
        <v>216783</v>
      </c>
      <c r="I48" s="8" t="n">
        <v>669193</v>
      </c>
      <c r="J48" s="9" t="n">
        <f aca="false">H48/I48</f>
        <v>0.323946903210285</v>
      </c>
      <c r="K48" s="10" t="n">
        <v>0.029</v>
      </c>
      <c r="L48" s="8" t="n">
        <v>210379</v>
      </c>
      <c r="M48" s="9" t="n">
        <f aca="false">L48/I48</f>
        <v>0.314377167722914</v>
      </c>
      <c r="N48" s="8" t="n">
        <v>209063</v>
      </c>
      <c r="O48" s="2" t="n">
        <v>0.6</v>
      </c>
      <c r="P48" s="2" t="n">
        <v>0.4</v>
      </c>
      <c r="Q48" s="10" t="n">
        <f aca="false">L48/H48-1</f>
        <v>-0.0295410617991263</v>
      </c>
      <c r="R48" s="10" t="n">
        <f aca="false">ABS(Q48)</f>
        <v>0.0295410617991263</v>
      </c>
      <c r="S48" s="2" t="s">
        <v>43</v>
      </c>
      <c r="T48" s="2" t="n">
        <v>0.46</v>
      </c>
      <c r="U48" s="2" t="n">
        <v>0.969</v>
      </c>
    </row>
    <row r="49" customFormat="false" ht="15" hidden="false" customHeight="false" outlineLevel="0" collapsed="false">
      <c r="A49" s="2" t="s">
        <v>90</v>
      </c>
      <c r="B49" s="2" t="s">
        <v>53</v>
      </c>
      <c r="C49" s="2" t="s">
        <v>39</v>
      </c>
      <c r="D49" s="2" t="s">
        <v>40</v>
      </c>
      <c r="E49" s="2" t="n">
        <v>31</v>
      </c>
      <c r="F49" s="2" t="s">
        <v>95</v>
      </c>
      <c r="G49" s="2" t="s">
        <v>92</v>
      </c>
      <c r="H49" s="8" t="n">
        <v>204413</v>
      </c>
      <c r="I49" s="8" t="n">
        <v>684968</v>
      </c>
      <c r="J49" s="9" t="n">
        <f aca="false">H49/I49</f>
        <v>0.298427079805188</v>
      </c>
      <c r="K49" s="10" t="n">
        <v>0.085</v>
      </c>
      <c r="L49" s="8" t="n">
        <v>214925</v>
      </c>
      <c r="M49" s="9" t="n">
        <f aca="false">L49/I49</f>
        <v>0.313773782132888</v>
      </c>
      <c r="N49" s="8" t="n">
        <v>213591</v>
      </c>
      <c r="O49" s="2" t="n">
        <v>0.6</v>
      </c>
      <c r="P49" s="2" t="n">
        <v>0.4</v>
      </c>
      <c r="Q49" s="10" t="n">
        <f aca="false">L49/H49-1</f>
        <v>0.0514253007391898</v>
      </c>
      <c r="R49" s="10" t="n">
        <f aca="false">ABS(Q49)</f>
        <v>0.0514253007391898</v>
      </c>
      <c r="S49" s="2" t="s">
        <v>43</v>
      </c>
      <c r="T49" s="2" t="n">
        <v>0.47</v>
      </c>
      <c r="U49" s="2" t="n">
        <v>1.027</v>
      </c>
    </row>
    <row r="50" customFormat="false" ht="15" hidden="false" customHeight="false" outlineLevel="0" collapsed="false">
      <c r="A50" s="2" t="s">
        <v>90</v>
      </c>
      <c r="B50" s="2" t="s">
        <v>54</v>
      </c>
      <c r="C50" s="2" t="s">
        <v>39</v>
      </c>
      <c r="D50" s="2" t="s">
        <v>40</v>
      </c>
      <c r="E50" s="2" t="n">
        <v>30</v>
      </c>
      <c r="F50" s="2" t="s">
        <v>95</v>
      </c>
      <c r="G50" s="2" t="s">
        <v>92</v>
      </c>
      <c r="H50" s="8" t="n">
        <v>156832</v>
      </c>
      <c r="I50" s="8" t="n">
        <v>530936</v>
      </c>
      <c r="J50" s="9" t="n">
        <f aca="false">H50/I50</f>
        <v>0.295387768017238</v>
      </c>
      <c r="K50" s="10" t="n">
        <v>0.087</v>
      </c>
      <c r="L50" s="8" t="n">
        <v>167417</v>
      </c>
      <c r="M50" s="9" t="n">
        <f aca="false">L50/I50</f>
        <v>0.315324257537632</v>
      </c>
      <c r="N50" s="8" t="n">
        <v>165196</v>
      </c>
      <c r="O50" s="2" t="n">
        <v>0.6</v>
      </c>
      <c r="P50" s="2" t="n">
        <v>0.4</v>
      </c>
      <c r="Q50" s="10" t="n">
        <f aca="false">L50/H50-1</f>
        <v>0.0674926035502959</v>
      </c>
      <c r="R50" s="10" t="n">
        <f aca="false">ABS(Q50)</f>
        <v>0.0674926035502959</v>
      </c>
      <c r="S50" s="2" t="s">
        <v>43</v>
      </c>
      <c r="T50" s="2" t="n">
        <v>0.46</v>
      </c>
      <c r="U50" s="2" t="n">
        <v>0.993</v>
      </c>
    </row>
    <row r="51" customFormat="false" ht="15" hidden="false" customHeight="false" outlineLevel="0" collapsed="false">
      <c r="A51" s="2" t="s">
        <v>90</v>
      </c>
      <c r="B51" s="2" t="s">
        <v>57</v>
      </c>
      <c r="C51" s="2" t="s">
        <v>39</v>
      </c>
      <c r="D51" s="2" t="s">
        <v>40</v>
      </c>
      <c r="E51" s="2" t="n">
        <v>31</v>
      </c>
      <c r="F51" s="2" t="s">
        <v>94</v>
      </c>
      <c r="G51" s="2" t="s">
        <v>92</v>
      </c>
      <c r="H51" s="8" t="n">
        <v>97582</v>
      </c>
      <c r="I51" s="8" t="n">
        <v>327926</v>
      </c>
      <c r="J51" s="9" t="n">
        <f aca="false">H51/I51</f>
        <v>0.297573232985491</v>
      </c>
      <c r="K51" s="10" t="n">
        <v>0.133</v>
      </c>
      <c r="L51" s="8" t="n">
        <v>105860</v>
      </c>
      <c r="M51" s="9" t="n">
        <f aca="false">L51/I51</f>
        <v>0.322816733043431</v>
      </c>
      <c r="N51" s="8" t="n">
        <v>101677</v>
      </c>
      <c r="O51" s="2" t="n">
        <v>0.49</v>
      </c>
      <c r="P51" s="2" t="n">
        <v>0.29</v>
      </c>
      <c r="Q51" s="10" t="n">
        <f aca="false">L51/H51-1</f>
        <v>0.084831218872333</v>
      </c>
      <c r="R51" s="10" t="n">
        <f aca="false">ABS(Q51)</f>
        <v>0.084831218872333</v>
      </c>
      <c r="S51" s="2" t="s">
        <v>43</v>
      </c>
      <c r="T51" s="2" t="n">
        <v>0.34</v>
      </c>
      <c r="U51" s="2" t="n">
        <v>0.965</v>
      </c>
    </row>
    <row r="52" customFormat="false" ht="15" hidden="false" customHeight="false" outlineLevel="0" collapsed="false">
      <c r="A52" s="2" t="s">
        <v>90</v>
      </c>
      <c r="B52" s="2" t="s">
        <v>58</v>
      </c>
      <c r="C52" s="2" t="s">
        <v>39</v>
      </c>
      <c r="D52" s="2" t="s">
        <v>40</v>
      </c>
      <c r="E52" s="2" t="n">
        <v>30</v>
      </c>
      <c r="F52" s="2" t="s">
        <v>94</v>
      </c>
      <c r="G52" s="2" t="s">
        <v>92</v>
      </c>
      <c r="H52" s="8" t="n">
        <v>60693</v>
      </c>
      <c r="I52" s="8" t="n">
        <v>189622</v>
      </c>
      <c r="J52" s="9" t="n">
        <f aca="false">H52/I52</f>
        <v>0.320073620149561</v>
      </c>
      <c r="K52" s="10" t="n">
        <v>0.165</v>
      </c>
      <c r="L52" s="8" t="n">
        <v>59523</v>
      </c>
      <c r="M52" s="9" t="n">
        <f aca="false">L52/I52</f>
        <v>0.313903450021622</v>
      </c>
      <c r="N52" s="8" t="n">
        <v>60137</v>
      </c>
      <c r="O52" s="2" t="n">
        <v>0.49</v>
      </c>
      <c r="P52" s="2" t="n">
        <v>0.29</v>
      </c>
      <c r="Q52" s="10" t="n">
        <f aca="false">L52/H52-1</f>
        <v>-0.0192773466462359</v>
      </c>
      <c r="R52" s="10" t="n">
        <f aca="false">ABS(Q52)</f>
        <v>0.0192773466462359</v>
      </c>
      <c r="S52" s="2" t="s">
        <v>43</v>
      </c>
      <c r="T52" s="2" t="n">
        <v>0.3</v>
      </c>
      <c r="U52" s="2" t="n">
        <v>0.976</v>
      </c>
    </row>
    <row r="53" customFormat="false" ht="15" hidden="false" customHeight="false" outlineLevel="0" collapsed="false">
      <c r="A53" s="2" t="s">
        <v>90</v>
      </c>
      <c r="B53" s="2" t="s">
        <v>59</v>
      </c>
      <c r="C53" s="2" t="s">
        <v>39</v>
      </c>
      <c r="D53" s="2" t="s">
        <v>40</v>
      </c>
      <c r="E53" s="2" t="n">
        <v>31</v>
      </c>
      <c r="F53" s="2" t="s">
        <v>96</v>
      </c>
      <c r="G53" s="2" t="s">
        <v>97</v>
      </c>
      <c r="H53" s="8" t="n">
        <v>50539</v>
      </c>
      <c r="I53" s="8" t="n">
        <v>156323</v>
      </c>
      <c r="J53" s="9" t="n">
        <f aca="false">H53/I53</f>
        <v>0.323298554915144</v>
      </c>
      <c r="K53" s="10" t="n">
        <v>0.151</v>
      </c>
      <c r="L53" s="8" t="n">
        <v>62709</v>
      </c>
      <c r="M53" s="9" t="n">
        <f aca="false">L53/I53</f>
        <v>0.401150182634673</v>
      </c>
      <c r="N53" s="8" t="n">
        <v>50699</v>
      </c>
      <c r="O53" s="2" t="n">
        <v>0.49</v>
      </c>
      <c r="P53" s="2" t="n">
        <v>0.29</v>
      </c>
      <c r="Q53" s="10" t="n">
        <f aca="false">L53/H53-1</f>
        <v>0.240804131462831</v>
      </c>
      <c r="R53" s="10" t="n">
        <f aca="false">ABS(Q53)</f>
        <v>0.240804131462831</v>
      </c>
      <c r="S53" s="2" t="s">
        <v>43</v>
      </c>
      <c r="T53" s="2" t="n">
        <v>0.24</v>
      </c>
      <c r="U53" s="2" t="n">
        <v>0.982</v>
      </c>
    </row>
    <row r="54" customFormat="false" ht="15" hidden="false" customHeight="false" outlineLevel="0" collapsed="false">
      <c r="A54" s="2" t="s">
        <v>90</v>
      </c>
      <c r="B54" s="2" t="s">
        <v>60</v>
      </c>
      <c r="C54" s="2" t="s">
        <v>39</v>
      </c>
      <c r="D54" s="2" t="s">
        <v>40</v>
      </c>
      <c r="E54" s="2" t="n">
        <v>31</v>
      </c>
      <c r="F54" s="2" t="s">
        <v>98</v>
      </c>
      <c r="G54" s="2" t="s">
        <v>99</v>
      </c>
      <c r="H54" s="8" t="n">
        <v>50147</v>
      </c>
      <c r="I54" s="8" t="n">
        <v>150894</v>
      </c>
      <c r="J54" s="9" t="n">
        <f aca="false">H54/I54</f>
        <v>0.332332630853447</v>
      </c>
      <c r="K54" s="10" t="n">
        <v>0.173</v>
      </c>
      <c r="L54" s="8" t="n">
        <v>62963</v>
      </c>
      <c r="M54" s="9" t="n">
        <f aca="false">L54/I54</f>
        <v>0.417266425437725</v>
      </c>
      <c r="N54" s="8" t="n">
        <v>51841</v>
      </c>
      <c r="O54" s="2" t="n">
        <v>0.45</v>
      </c>
      <c r="P54" s="2" t="n">
        <v>0.21</v>
      </c>
      <c r="Q54" s="10" t="n">
        <f aca="false">L54/H54-1</f>
        <v>0.255568628232995</v>
      </c>
      <c r="R54" s="10" t="n">
        <f aca="false">ABS(Q54)</f>
        <v>0.255568628232995</v>
      </c>
      <c r="S54" s="2" t="s">
        <v>43</v>
      </c>
      <c r="T54" s="2" t="n">
        <v>0.2</v>
      </c>
      <c r="U54" s="2" t="n">
        <v>0.882</v>
      </c>
    </row>
    <row r="55" customFormat="false" ht="15" hidden="false" customHeight="false" outlineLevel="0" collapsed="false">
      <c r="A55" s="2" t="s">
        <v>90</v>
      </c>
      <c r="B55" s="2" t="s">
        <v>61</v>
      </c>
      <c r="C55" s="2" t="s">
        <v>39</v>
      </c>
      <c r="D55" s="2" t="s">
        <v>40</v>
      </c>
      <c r="E55" s="2" t="n">
        <v>28</v>
      </c>
      <c r="F55" s="2" t="s">
        <v>98</v>
      </c>
      <c r="G55" s="2" t="s">
        <v>99</v>
      </c>
      <c r="H55" s="8" t="n">
        <v>63293</v>
      </c>
      <c r="I55" s="8" t="n">
        <v>172902</v>
      </c>
      <c r="J55" s="9" t="n">
        <f aca="false">H55/I55</f>
        <v>0.366062856415773</v>
      </c>
      <c r="K55" s="10" t="n">
        <v>0.171</v>
      </c>
      <c r="L55" s="8" t="n">
        <v>67353</v>
      </c>
      <c r="M55" s="9" t="n">
        <f aca="false">L55/I55</f>
        <v>0.389544366172745</v>
      </c>
      <c r="N55" s="8" t="n">
        <v>57997</v>
      </c>
      <c r="O55" s="2" t="n">
        <v>0.45</v>
      </c>
      <c r="P55" s="2" t="n">
        <v>0.21</v>
      </c>
      <c r="Q55" s="10" t="n">
        <f aca="false">L55/H55-1</f>
        <v>0.0641461141042454</v>
      </c>
      <c r="R55" s="10" t="n">
        <f aca="false">ABS(Q55)</f>
        <v>0.0641461141042454</v>
      </c>
      <c r="S55" s="2" t="s">
        <v>43</v>
      </c>
      <c r="T55" s="2" t="n">
        <v>0.23</v>
      </c>
      <c r="U55" s="2" t="n">
        <v>0.93</v>
      </c>
    </row>
    <row r="56" customFormat="false" ht="15" hidden="false" customHeight="false" outlineLevel="0" collapsed="false">
      <c r="A56" s="2" t="s">
        <v>90</v>
      </c>
      <c r="B56" s="2" t="s">
        <v>62</v>
      </c>
      <c r="C56" s="2" t="s">
        <v>39</v>
      </c>
      <c r="D56" s="2" t="s">
        <v>40</v>
      </c>
      <c r="E56" s="2" t="n">
        <v>31</v>
      </c>
      <c r="F56" s="2" t="s">
        <v>98</v>
      </c>
      <c r="G56" s="2" t="s">
        <v>99</v>
      </c>
      <c r="H56" s="8" t="n">
        <v>63147</v>
      </c>
      <c r="I56" s="8" t="n">
        <v>205606</v>
      </c>
      <c r="J56" s="9" t="n">
        <f aca="false">H56/I56</f>
        <v>0.30712625117944</v>
      </c>
      <c r="K56" s="10" t="n">
        <v>0.186</v>
      </c>
      <c r="L56" s="8" t="n">
        <v>77753</v>
      </c>
      <c r="M56" s="9" t="n">
        <f aca="false">L56/I56</f>
        <v>0.378165034094336</v>
      </c>
      <c r="N56" s="8" t="n">
        <v>66372</v>
      </c>
      <c r="O56" s="2" t="n">
        <v>0.45</v>
      </c>
      <c r="P56" s="2" t="n">
        <v>0.21</v>
      </c>
      <c r="Q56" s="10" t="n">
        <f aca="false">L56/H56-1</f>
        <v>0.231301566186834</v>
      </c>
      <c r="R56" s="10" t="n">
        <f aca="false">ABS(Q56)</f>
        <v>0.231301566186834</v>
      </c>
      <c r="S56" s="2" t="s">
        <v>43</v>
      </c>
      <c r="T56" s="2" t="n">
        <v>0.25</v>
      </c>
      <c r="U56" s="2" t="n">
        <v>1.039</v>
      </c>
    </row>
    <row r="57" customFormat="false" ht="15" hidden="false" customHeight="false" outlineLevel="0" collapsed="false">
      <c r="A57" s="2" t="s">
        <v>90</v>
      </c>
      <c r="B57" s="2" t="s">
        <v>63</v>
      </c>
      <c r="C57" s="2" t="s">
        <v>39</v>
      </c>
      <c r="D57" s="2" t="s">
        <v>40</v>
      </c>
      <c r="E57" s="2" t="n">
        <v>30</v>
      </c>
      <c r="F57" s="2" t="s">
        <v>100</v>
      </c>
      <c r="G57" s="2" t="s">
        <v>99</v>
      </c>
      <c r="H57" s="8" t="n">
        <v>74727</v>
      </c>
      <c r="I57" s="8" t="n">
        <v>236711</v>
      </c>
      <c r="J57" s="9" t="n">
        <f aca="false">H57/I57</f>
        <v>0.315688751262088</v>
      </c>
      <c r="K57" s="10" t="n">
        <v>0.237</v>
      </c>
      <c r="L57" s="8" t="n">
        <v>83394</v>
      </c>
      <c r="M57" s="9" t="n">
        <f aca="false">L57/I57</f>
        <v>0.352303019293569</v>
      </c>
      <c r="N57" s="8" t="n">
        <v>77659</v>
      </c>
      <c r="O57" s="2" t="n">
        <v>0.62</v>
      </c>
      <c r="P57" s="2" t="n">
        <v>0.43</v>
      </c>
      <c r="Q57" s="10" t="n">
        <f aca="false">L57/H57-1</f>
        <v>0.115982175117427</v>
      </c>
      <c r="R57" s="10" t="n">
        <f aca="false">ABS(Q57)</f>
        <v>0.115982175117427</v>
      </c>
      <c r="S57" s="2" t="s">
        <v>43</v>
      </c>
      <c r="T57" s="2" t="n">
        <v>0.32</v>
      </c>
      <c r="U57" s="2" t="n">
        <v>0.955</v>
      </c>
    </row>
    <row r="58" customFormat="false" ht="15" hidden="false" customHeight="false" outlineLevel="0" collapsed="false">
      <c r="A58" s="2" t="s">
        <v>90</v>
      </c>
      <c r="B58" s="2" t="s">
        <v>64</v>
      </c>
      <c r="C58" s="2" t="s">
        <v>39</v>
      </c>
      <c r="D58" s="2" t="s">
        <v>40</v>
      </c>
      <c r="E58" s="2" t="n">
        <v>31</v>
      </c>
      <c r="F58" s="2" t="s">
        <v>101</v>
      </c>
      <c r="G58" s="2" t="s">
        <v>99</v>
      </c>
      <c r="H58" s="8" t="n">
        <v>128694</v>
      </c>
      <c r="I58" s="8" t="n">
        <v>410913</v>
      </c>
      <c r="J58" s="9" t="n">
        <f aca="false">H58/I58</f>
        <v>0.313190383365822</v>
      </c>
      <c r="K58" s="10" t="n">
        <v>0.245</v>
      </c>
      <c r="L58" s="8" t="n">
        <v>133325</v>
      </c>
      <c r="M58" s="9" t="n">
        <f aca="false">L58/I58</f>
        <v>0.32446040889434</v>
      </c>
      <c r="N58" s="8" t="n">
        <v>131155</v>
      </c>
      <c r="O58" s="2" t="n">
        <v>0.62</v>
      </c>
      <c r="P58" s="2" t="n">
        <v>0.43</v>
      </c>
      <c r="Q58" s="10" t="n">
        <f aca="false">L58/H58-1</f>
        <v>0.0359845835858703</v>
      </c>
      <c r="R58" s="10" t="n">
        <f aca="false">ABS(Q58)</f>
        <v>0.0359845835858703</v>
      </c>
      <c r="S58" s="2" t="s">
        <v>43</v>
      </c>
      <c r="T58" s="2" t="n">
        <v>0.4</v>
      </c>
      <c r="U58" s="2" t="n">
        <v>0.985</v>
      </c>
    </row>
    <row r="59" customFormat="false" ht="15" hidden="false" customHeight="false" outlineLevel="0" collapsed="false">
      <c r="A59" s="2" t="s">
        <v>90</v>
      </c>
      <c r="B59" s="2" t="s">
        <v>65</v>
      </c>
      <c r="C59" s="2" t="s">
        <v>39</v>
      </c>
      <c r="D59" s="2" t="s">
        <v>40</v>
      </c>
      <c r="E59" s="2" t="n">
        <v>30</v>
      </c>
      <c r="F59" s="2" t="s">
        <v>102</v>
      </c>
      <c r="G59" s="2" t="s">
        <v>99</v>
      </c>
      <c r="H59" s="8" t="n">
        <v>137865</v>
      </c>
      <c r="I59" s="8" t="n">
        <v>461599</v>
      </c>
      <c r="J59" s="9" t="n">
        <f aca="false">H59/I59</f>
        <v>0.298668324671414</v>
      </c>
      <c r="K59" s="10" t="n">
        <v>0.284</v>
      </c>
      <c r="L59" s="8" t="n">
        <v>144484</v>
      </c>
      <c r="M59" s="9" t="n">
        <f aca="false">L59/I59</f>
        <v>0.313007610501756</v>
      </c>
      <c r="N59" s="8" t="n">
        <v>142638</v>
      </c>
      <c r="O59" s="2" t="n">
        <v>0.62</v>
      </c>
      <c r="P59" s="2" t="n">
        <v>0.43</v>
      </c>
      <c r="Q59" s="10" t="n">
        <f aca="false">L59/H59-1</f>
        <v>0.0480107351394481</v>
      </c>
      <c r="R59" s="10" t="n">
        <f aca="false">ABS(Q59)</f>
        <v>0.0480107351394481</v>
      </c>
      <c r="S59" s="2" t="s">
        <v>43</v>
      </c>
      <c r="T59" s="2" t="n">
        <v>0.44</v>
      </c>
      <c r="U59" s="2" t="n">
        <v>0.952</v>
      </c>
    </row>
    <row r="60" customFormat="false" ht="15" hidden="false" customHeight="false" outlineLevel="0" collapsed="false">
      <c r="A60" s="2" t="s">
        <v>90</v>
      </c>
      <c r="B60" s="2" t="s">
        <v>66</v>
      </c>
      <c r="C60" s="2" t="s">
        <v>39</v>
      </c>
      <c r="D60" s="2" t="s">
        <v>40</v>
      </c>
      <c r="E60" s="2" t="n">
        <v>31</v>
      </c>
      <c r="F60" s="2" t="s">
        <v>103</v>
      </c>
      <c r="G60" s="2" t="s">
        <v>99</v>
      </c>
      <c r="H60" s="8" t="n">
        <v>174308</v>
      </c>
      <c r="I60" s="8" t="n">
        <v>552476</v>
      </c>
      <c r="J60" s="9" t="n">
        <f aca="false">H60/I60</f>
        <v>0.315503297880813</v>
      </c>
      <c r="K60" s="10" t="n">
        <v>0.27</v>
      </c>
      <c r="L60" s="8" t="n">
        <v>175295</v>
      </c>
      <c r="M60" s="9" t="n">
        <f aca="false">L60/I60</f>
        <v>0.317289800823927</v>
      </c>
      <c r="N60" s="8" t="n">
        <v>174914</v>
      </c>
      <c r="O60" s="2" t="n">
        <v>0.53</v>
      </c>
      <c r="P60" s="2" t="n">
        <v>0.41</v>
      </c>
      <c r="Q60" s="10" t="n">
        <f aca="false">L60/H60-1</f>
        <v>0.00566239071069608</v>
      </c>
      <c r="R60" s="10" t="n">
        <f aca="false">ABS(Q60)</f>
        <v>0.00566239071069608</v>
      </c>
      <c r="S60" s="2" t="s">
        <v>43</v>
      </c>
      <c r="T60" s="2" t="n">
        <v>0.43</v>
      </c>
      <c r="U60" s="2" t="n">
        <v>0.931</v>
      </c>
    </row>
    <row r="61" customFormat="false" ht="15" hidden="false" customHeight="false" outlineLevel="0" collapsed="false">
      <c r="A61" s="2" t="s">
        <v>90</v>
      </c>
      <c r="B61" s="2" t="s">
        <v>67</v>
      </c>
      <c r="C61" s="2" t="s">
        <v>39</v>
      </c>
      <c r="D61" s="2" t="s">
        <v>40</v>
      </c>
      <c r="E61" s="2" t="n">
        <v>31</v>
      </c>
      <c r="F61" s="2" t="s">
        <v>103</v>
      </c>
      <c r="G61" s="2" t="s">
        <v>99</v>
      </c>
      <c r="H61" s="8" t="n">
        <v>202825</v>
      </c>
      <c r="I61" s="8" t="n">
        <v>647686</v>
      </c>
      <c r="J61" s="9" t="n">
        <f aca="false">H61/I61</f>
        <v>0.31315328724104</v>
      </c>
      <c r="K61" s="10" t="n">
        <v>0.235</v>
      </c>
      <c r="L61" s="8" t="n">
        <v>203782</v>
      </c>
      <c r="M61" s="9" t="n">
        <f aca="false">L61/I61</f>
        <v>0.314630855074836</v>
      </c>
      <c r="N61" s="8" t="n">
        <v>205117</v>
      </c>
      <c r="O61" s="2" t="n">
        <v>0.53</v>
      </c>
      <c r="P61" s="2" t="n">
        <v>0.41</v>
      </c>
      <c r="Q61" s="10" t="n">
        <f aca="false">L61/H61-1</f>
        <v>0.00471835326019976</v>
      </c>
      <c r="R61" s="10" t="n">
        <f aca="false">ABS(Q61)</f>
        <v>0.00471835326019976</v>
      </c>
      <c r="S61" s="2" t="s">
        <v>43</v>
      </c>
      <c r="T61" s="2" t="n">
        <v>0.45</v>
      </c>
      <c r="U61" s="2" t="n">
        <v>0.967</v>
      </c>
    </row>
    <row r="62" customFormat="false" ht="15" hidden="false" customHeight="false" outlineLevel="0" collapsed="false">
      <c r="A62" s="2" t="s">
        <v>90</v>
      </c>
      <c r="B62" s="2" t="s">
        <v>68</v>
      </c>
      <c r="C62" s="2" t="s">
        <v>39</v>
      </c>
      <c r="D62" s="2" t="s">
        <v>40</v>
      </c>
      <c r="E62" s="2" t="n">
        <v>30</v>
      </c>
      <c r="F62" s="2" t="s">
        <v>104</v>
      </c>
      <c r="G62" s="2" t="s">
        <v>99</v>
      </c>
      <c r="H62" s="8" t="n">
        <v>176520</v>
      </c>
      <c r="I62" s="8" t="n">
        <v>557700</v>
      </c>
      <c r="J62" s="9" t="n">
        <f aca="false">H62/I62</f>
        <v>0.316514254975793</v>
      </c>
      <c r="K62" s="10" t="n">
        <v>0.237</v>
      </c>
      <c r="L62" s="8" t="n">
        <v>177924</v>
      </c>
      <c r="M62" s="9" t="n">
        <f aca="false">L62/I62</f>
        <v>0.319031737493276</v>
      </c>
      <c r="N62" s="8" t="n">
        <v>175385</v>
      </c>
      <c r="O62" s="2" t="n">
        <v>0.53</v>
      </c>
      <c r="P62" s="2" t="n">
        <v>0.41</v>
      </c>
      <c r="Q62" s="10" t="n">
        <f aca="false">L62/H62-1</f>
        <v>0.00795377294357591</v>
      </c>
      <c r="R62" s="10" t="n">
        <f aca="false">ABS(Q62)</f>
        <v>0.00795377294357591</v>
      </c>
      <c r="S62" s="2" t="s">
        <v>43</v>
      </c>
      <c r="T62" s="2" t="n">
        <v>0.41</v>
      </c>
      <c r="U62" s="2" t="n">
        <v>0.962</v>
      </c>
    </row>
    <row r="63" customFormat="false" ht="15" hidden="false" customHeight="false" outlineLevel="0" collapsed="false">
      <c r="A63" s="2" t="s">
        <v>105</v>
      </c>
      <c r="B63" s="2" t="s">
        <v>76</v>
      </c>
      <c r="C63" s="2" t="s">
        <v>39</v>
      </c>
      <c r="D63" s="2" t="s">
        <v>40</v>
      </c>
      <c r="E63" s="2" t="n">
        <v>31</v>
      </c>
      <c r="F63" s="2" t="s">
        <v>41</v>
      </c>
      <c r="G63" s="2" t="s">
        <v>88</v>
      </c>
      <c r="H63" s="8" t="n">
        <v>59617</v>
      </c>
      <c r="I63" s="8" t="n">
        <v>165248</v>
      </c>
      <c r="J63" s="9" t="n">
        <f aca="false">H63/I63</f>
        <v>0.360772898915569</v>
      </c>
      <c r="K63" s="10" t="n">
        <v>0.067</v>
      </c>
      <c r="L63" s="8" t="n">
        <v>54240</v>
      </c>
      <c r="M63" s="9" t="n">
        <f aca="false">L63/I63</f>
        <v>0.328233927188226</v>
      </c>
      <c r="N63" s="8" t="n">
        <v>54314</v>
      </c>
      <c r="O63" s="2" t="n">
        <v>0.69</v>
      </c>
      <c r="P63" s="2" t="n">
        <v>0.34</v>
      </c>
      <c r="Q63" s="10" t="n">
        <f aca="false">L63/H63-1</f>
        <v>-0.0901923947867219</v>
      </c>
      <c r="R63" s="10" t="n">
        <f aca="false">ABS(Q63)</f>
        <v>0.0901923947867219</v>
      </c>
      <c r="S63" s="2" t="s">
        <v>43</v>
      </c>
      <c r="T63" s="2" t="n">
        <v>0.44</v>
      </c>
      <c r="U63" s="2" t="n">
        <v>1.051</v>
      </c>
    </row>
    <row r="64" customFormat="false" ht="15" hidden="false" customHeight="false" outlineLevel="0" collapsed="false">
      <c r="A64" s="2" t="s">
        <v>105</v>
      </c>
      <c r="B64" s="2" t="s">
        <v>50</v>
      </c>
      <c r="C64" s="2" t="s">
        <v>39</v>
      </c>
      <c r="D64" s="2" t="s">
        <v>40</v>
      </c>
      <c r="E64" s="2" t="n">
        <v>30</v>
      </c>
      <c r="F64" s="2" t="s">
        <v>41</v>
      </c>
      <c r="G64" s="2" t="s">
        <v>88</v>
      </c>
      <c r="H64" s="8" t="n">
        <v>64100</v>
      </c>
      <c r="I64" s="8" t="n">
        <v>184671</v>
      </c>
      <c r="J64" s="9" t="n">
        <f aca="false">H64/I64</f>
        <v>0.347103768323126</v>
      </c>
      <c r="K64" s="10" t="n">
        <v>0.058</v>
      </c>
      <c r="L64" s="8" t="n">
        <v>60148</v>
      </c>
      <c r="M64" s="9" t="n">
        <f aca="false">L64/I64</f>
        <v>0.325703548472689</v>
      </c>
      <c r="N64" s="8" t="n">
        <v>60282</v>
      </c>
      <c r="O64" s="2" t="n">
        <v>0.69</v>
      </c>
      <c r="P64" s="2" t="n">
        <v>0.34</v>
      </c>
      <c r="Q64" s="10" t="n">
        <f aca="false">L64/H64-1</f>
        <v>-0.0616536661466459</v>
      </c>
      <c r="R64" s="10" t="n">
        <f aca="false">ABS(Q64)</f>
        <v>0.0616536661466459</v>
      </c>
      <c r="S64" s="2" t="s">
        <v>43</v>
      </c>
      <c r="T64" s="2" t="n">
        <v>0.48</v>
      </c>
      <c r="U64" s="2" t="n">
        <v>1.045</v>
      </c>
    </row>
    <row r="65" customFormat="false" ht="15" hidden="false" customHeight="false" outlineLevel="0" collapsed="false">
      <c r="A65" s="2" t="s">
        <v>105</v>
      </c>
      <c r="B65" s="2" t="s">
        <v>52</v>
      </c>
      <c r="C65" s="2" t="s">
        <v>39</v>
      </c>
      <c r="D65" s="2" t="s">
        <v>40</v>
      </c>
      <c r="E65" s="2" t="n">
        <v>31</v>
      </c>
      <c r="F65" s="2" t="s">
        <v>84</v>
      </c>
      <c r="G65" s="2" t="s">
        <v>56</v>
      </c>
      <c r="H65" s="8" t="n">
        <v>74143</v>
      </c>
      <c r="I65" s="8" t="n">
        <v>220137</v>
      </c>
      <c r="J65" s="9" t="n">
        <f aca="false">H65/I65</f>
        <v>0.336803899389925</v>
      </c>
      <c r="K65" s="10" t="n">
        <v>0.048</v>
      </c>
      <c r="L65" s="8" t="n">
        <v>71331</v>
      </c>
      <c r="M65" s="9" t="n">
        <f aca="false">L65/I65</f>
        <v>0.324030035841317</v>
      </c>
      <c r="N65" s="8" t="n">
        <v>72117</v>
      </c>
      <c r="O65" s="2" t="n">
        <v>0.71</v>
      </c>
      <c r="P65" s="2" t="n">
        <v>0.36</v>
      </c>
      <c r="Q65" s="10" t="n">
        <f aca="false">L65/H65-1</f>
        <v>-0.0379267091970921</v>
      </c>
      <c r="R65" s="10" t="n">
        <f aca="false">ABS(Q65)</f>
        <v>0.0379267091970921</v>
      </c>
      <c r="S65" s="2" t="s">
        <v>43</v>
      </c>
      <c r="T65" s="2" t="n">
        <v>0.51</v>
      </c>
      <c r="U65" s="2" t="n">
        <v>1.006</v>
      </c>
    </row>
    <row r="66" customFormat="false" ht="15" hidden="false" customHeight="false" outlineLevel="0" collapsed="false">
      <c r="A66" s="2" t="s">
        <v>105</v>
      </c>
      <c r="B66" s="2" t="s">
        <v>53</v>
      </c>
      <c r="C66" s="2" t="s">
        <v>39</v>
      </c>
      <c r="D66" s="2" t="s">
        <v>40</v>
      </c>
      <c r="E66" s="2" t="n">
        <v>31</v>
      </c>
      <c r="F66" s="2" t="s">
        <v>84</v>
      </c>
      <c r="G66" s="2" t="s">
        <v>56</v>
      </c>
      <c r="H66" s="8" t="n">
        <v>72689</v>
      </c>
      <c r="I66" s="8" t="n">
        <v>230448</v>
      </c>
      <c r="J66" s="9" t="n">
        <f aca="false">H66/I66</f>
        <v>0.315424737901826</v>
      </c>
      <c r="K66" s="10" t="n">
        <v>0.042</v>
      </c>
      <c r="L66" s="8" t="n">
        <v>74589</v>
      </c>
      <c r="M66" s="9" t="n">
        <f aca="false">L66/I66</f>
        <v>0.323669548010831</v>
      </c>
      <c r="N66" s="8" t="n">
        <v>75121</v>
      </c>
      <c r="O66" s="2" t="n">
        <v>0.71</v>
      </c>
      <c r="P66" s="2" t="n">
        <v>0.36</v>
      </c>
      <c r="Q66" s="10" t="n">
        <f aca="false">L66/H66-1</f>
        <v>0.0261387555200925</v>
      </c>
      <c r="R66" s="10" t="n">
        <f aca="false">ABS(Q66)</f>
        <v>0.0261387555200925</v>
      </c>
      <c r="S66" s="2" t="s">
        <v>43</v>
      </c>
      <c r="T66" s="2" t="n">
        <v>0.52</v>
      </c>
      <c r="U66" s="2" t="n">
        <v>1.001</v>
      </c>
    </row>
    <row r="67" customFormat="false" ht="15" hidden="false" customHeight="false" outlineLevel="0" collapsed="false">
      <c r="A67" s="2" t="s">
        <v>105</v>
      </c>
      <c r="B67" s="2" t="s">
        <v>54</v>
      </c>
      <c r="C67" s="2" t="s">
        <v>39</v>
      </c>
      <c r="D67" s="2" t="s">
        <v>40</v>
      </c>
      <c r="E67" s="2" t="n">
        <v>30</v>
      </c>
      <c r="F67" s="2" t="s">
        <v>84</v>
      </c>
      <c r="G67" s="2" t="s">
        <v>56</v>
      </c>
      <c r="H67" s="8" t="n">
        <v>54976</v>
      </c>
      <c r="I67" s="8" t="n">
        <v>172224</v>
      </c>
      <c r="J67" s="9" t="n">
        <f aca="false">H67/I67</f>
        <v>0.319212188777406</v>
      </c>
      <c r="K67" s="10" t="n">
        <v>0.05</v>
      </c>
      <c r="L67" s="8" t="n">
        <v>56128</v>
      </c>
      <c r="M67" s="9" t="n">
        <f aca="false">L67/I67</f>
        <v>0.325901151988109</v>
      </c>
      <c r="N67" s="8" t="n">
        <v>56430</v>
      </c>
      <c r="O67" s="2" t="n">
        <v>0.71</v>
      </c>
      <c r="P67" s="2" t="n">
        <v>0.36</v>
      </c>
      <c r="Q67" s="10" t="n">
        <f aca="false">L67/H67-1</f>
        <v>0.020954598370198</v>
      </c>
      <c r="R67" s="10" t="n">
        <f aca="false">ABS(Q67)</f>
        <v>0.020954598370198</v>
      </c>
      <c r="S67" s="2" t="s">
        <v>43</v>
      </c>
      <c r="T67" s="2" t="n">
        <v>0.48</v>
      </c>
      <c r="U67" s="2" t="n">
        <v>1.015</v>
      </c>
    </row>
    <row r="68" customFormat="false" ht="15" hidden="false" customHeight="false" outlineLevel="0" collapsed="false">
      <c r="A68" s="2" t="s">
        <v>105</v>
      </c>
      <c r="B68" s="2" t="s">
        <v>57</v>
      </c>
      <c r="C68" s="2" t="s">
        <v>39</v>
      </c>
      <c r="D68" s="2" t="s">
        <v>40</v>
      </c>
      <c r="E68" s="2" t="n">
        <v>31</v>
      </c>
      <c r="F68" s="2" t="s">
        <v>84</v>
      </c>
      <c r="G68" s="2" t="s">
        <v>56</v>
      </c>
      <c r="H68" s="8" t="n">
        <v>34075</v>
      </c>
      <c r="I68" s="8" t="n">
        <v>98040</v>
      </c>
      <c r="J68" s="9" t="n">
        <f aca="false">H68/I68</f>
        <v>0.347562219502244</v>
      </c>
      <c r="K68" s="10" t="n">
        <v>0.084</v>
      </c>
      <c r="L68" s="8" t="n">
        <v>33836</v>
      </c>
      <c r="M68" s="9" t="n">
        <f aca="false">L68/I68</f>
        <v>0.345124439004488</v>
      </c>
      <c r="N68" s="8" t="n">
        <v>33950</v>
      </c>
      <c r="O68" s="2" t="n">
        <v>0.69</v>
      </c>
      <c r="P68" s="2" t="n">
        <v>0.35</v>
      </c>
      <c r="Q68" s="10" t="n">
        <f aca="false">L68/H68-1</f>
        <v>-0.00701393983859133</v>
      </c>
      <c r="R68" s="10" t="n">
        <f aca="false">ABS(Q68)</f>
        <v>0.00701393983859133</v>
      </c>
      <c r="S68" s="2" t="s">
        <v>43</v>
      </c>
      <c r="T68" s="2" t="n">
        <v>0.33</v>
      </c>
      <c r="U68" s="2" t="n">
        <v>1.005</v>
      </c>
    </row>
    <row r="69" customFormat="false" ht="15" hidden="false" customHeight="false" outlineLevel="0" collapsed="false">
      <c r="A69" s="2" t="s">
        <v>105</v>
      </c>
      <c r="B69" s="2" t="s">
        <v>58</v>
      </c>
      <c r="C69" s="2" t="s">
        <v>39</v>
      </c>
      <c r="D69" s="2" t="s">
        <v>40</v>
      </c>
      <c r="E69" s="2" t="n">
        <v>30</v>
      </c>
      <c r="F69" s="2" t="s">
        <v>84</v>
      </c>
      <c r="G69" s="2" t="s">
        <v>56</v>
      </c>
      <c r="H69" s="8" t="n">
        <v>26291</v>
      </c>
      <c r="I69" s="8" t="n">
        <v>64727</v>
      </c>
      <c r="J69" s="9" t="n">
        <f aca="false">H69/I69</f>
        <v>0.406182891220047</v>
      </c>
      <c r="K69" s="10" t="n">
        <v>0.097</v>
      </c>
      <c r="L69" s="8" t="n">
        <v>24689</v>
      </c>
      <c r="M69" s="9" t="n">
        <f aca="false">L69/I69</f>
        <v>0.3814327869359</v>
      </c>
      <c r="N69" s="8" t="n">
        <v>24731</v>
      </c>
      <c r="O69" s="2" t="n">
        <v>0.69</v>
      </c>
      <c r="P69" s="2" t="n">
        <v>0.35</v>
      </c>
      <c r="Q69" s="10" t="n">
        <f aca="false">L69/H69-1</f>
        <v>-0.060933399262105</v>
      </c>
      <c r="R69" s="10" t="n">
        <f aca="false">ABS(Q69)</f>
        <v>0.060933399262105</v>
      </c>
      <c r="S69" s="2" t="s">
        <v>43</v>
      </c>
      <c r="T69" s="2" t="n">
        <v>0.23</v>
      </c>
      <c r="U69" s="2" t="n">
        <v>1.061</v>
      </c>
    </row>
    <row r="70" customFormat="false" ht="15" hidden="false" customHeight="false" outlineLevel="0" collapsed="false">
      <c r="A70" s="2" t="s">
        <v>105</v>
      </c>
      <c r="B70" s="2" t="s">
        <v>59</v>
      </c>
      <c r="C70" s="2" t="s">
        <v>39</v>
      </c>
      <c r="D70" s="2" t="s">
        <v>40</v>
      </c>
      <c r="E70" s="2" t="n">
        <v>31</v>
      </c>
      <c r="F70" s="2" t="s">
        <v>106</v>
      </c>
      <c r="G70" s="2" t="s">
        <v>107</v>
      </c>
      <c r="H70" s="8" t="n">
        <v>24786</v>
      </c>
      <c r="I70" s="8" t="n">
        <v>59757</v>
      </c>
      <c r="J70" s="9" t="n">
        <f aca="false">H70/I70</f>
        <v>0.414779858426628</v>
      </c>
      <c r="K70" s="10" t="n">
        <v>0.068</v>
      </c>
      <c r="L70" s="8" t="n">
        <v>23735</v>
      </c>
      <c r="M70" s="9" t="n">
        <f aca="false">L70/I70</f>
        <v>0.39719196077447</v>
      </c>
      <c r="N70" s="8" t="n">
        <v>23633</v>
      </c>
      <c r="O70" s="2" t="n">
        <v>0.69</v>
      </c>
      <c r="P70" s="2" t="n">
        <v>0.35</v>
      </c>
      <c r="Q70" s="10" t="n">
        <f aca="false">L70/H70-1</f>
        <v>-0.04240296941822</v>
      </c>
      <c r="R70" s="10" t="n">
        <f aca="false">ABS(Q70)</f>
        <v>0.04240296941822</v>
      </c>
      <c r="S70" s="2" t="s">
        <v>43</v>
      </c>
      <c r="T70" s="2" t="n">
        <v>0.2</v>
      </c>
      <c r="U70" s="2" t="n">
        <v>1.002</v>
      </c>
    </row>
    <row r="71" customFormat="false" ht="15" hidden="false" customHeight="false" outlineLevel="0" collapsed="false">
      <c r="A71" s="2" t="s">
        <v>105</v>
      </c>
      <c r="B71" s="2" t="s">
        <v>60</v>
      </c>
      <c r="C71" s="2" t="s">
        <v>39</v>
      </c>
      <c r="D71" s="2" t="s">
        <v>40</v>
      </c>
      <c r="E71" s="2" t="n">
        <v>31</v>
      </c>
      <c r="F71" s="2" t="s">
        <v>108</v>
      </c>
      <c r="G71" s="2" t="s">
        <v>107</v>
      </c>
      <c r="H71" s="8" t="n">
        <v>22358</v>
      </c>
      <c r="I71" s="8" t="n">
        <v>71539</v>
      </c>
      <c r="J71" s="9" t="n">
        <f aca="false">H71/I71</f>
        <v>0.312528830428158</v>
      </c>
      <c r="K71" s="10" t="n">
        <v>0.063</v>
      </c>
      <c r="L71" s="8" t="n">
        <v>25662</v>
      </c>
      <c r="M71" s="9" t="n">
        <f aca="false">L71/I71</f>
        <v>0.358713429038706</v>
      </c>
      <c r="N71" s="8" t="n">
        <v>25821</v>
      </c>
      <c r="O71" s="2" t="n">
        <v>0.77</v>
      </c>
      <c r="P71" s="2" t="n">
        <v>0.43</v>
      </c>
      <c r="Q71" s="10" t="n">
        <f aca="false">L71/H71-1</f>
        <v>0.147777082028804</v>
      </c>
      <c r="R71" s="10" t="n">
        <f aca="false">ABS(Q71)</f>
        <v>0.147777082028804</v>
      </c>
      <c r="S71" s="2" t="s">
        <v>43</v>
      </c>
      <c r="T71" s="2" t="n">
        <v>0.37</v>
      </c>
      <c r="U71" s="2" t="n">
        <v>1.009</v>
      </c>
    </row>
    <row r="72" customFormat="false" ht="15" hidden="false" customHeight="false" outlineLevel="0" collapsed="false">
      <c r="A72" s="2" t="s">
        <v>105</v>
      </c>
      <c r="B72" s="2" t="s">
        <v>61</v>
      </c>
      <c r="C72" s="2" t="s">
        <v>39</v>
      </c>
      <c r="D72" s="2" t="s">
        <v>40</v>
      </c>
      <c r="E72" s="2" t="n">
        <v>28</v>
      </c>
      <c r="F72" s="2" t="s">
        <v>108</v>
      </c>
      <c r="G72" s="2" t="s">
        <v>107</v>
      </c>
      <c r="H72" s="8" t="n">
        <v>18955</v>
      </c>
      <c r="I72" s="8" t="n">
        <v>59425</v>
      </c>
      <c r="J72" s="9" t="n">
        <f aca="false">H72/I72</f>
        <v>0.318973496003366</v>
      </c>
      <c r="K72" s="10" t="n">
        <v>0.088</v>
      </c>
      <c r="L72" s="8" t="n">
        <v>21190</v>
      </c>
      <c r="M72" s="9" t="n">
        <f aca="false">L72/I72</f>
        <v>0.356583929322676</v>
      </c>
      <c r="N72" s="8" t="n">
        <v>21245</v>
      </c>
      <c r="O72" s="2" t="n">
        <v>0.77</v>
      </c>
      <c r="P72" s="2" t="n">
        <v>0.43</v>
      </c>
      <c r="Q72" s="10" t="n">
        <f aca="false">L72/H72-1</f>
        <v>0.117910841466631</v>
      </c>
      <c r="R72" s="10" t="n">
        <f aca="false">ABS(Q72)</f>
        <v>0.117910841466631</v>
      </c>
      <c r="S72" s="2" t="s">
        <v>43</v>
      </c>
      <c r="T72" s="2" t="n">
        <v>0.36</v>
      </c>
      <c r="U72" s="2" t="n">
        <v>1.01</v>
      </c>
    </row>
    <row r="73" customFormat="false" ht="15" hidden="false" customHeight="false" outlineLevel="0" collapsed="false">
      <c r="A73" s="2" t="s">
        <v>105</v>
      </c>
      <c r="B73" s="2" t="s">
        <v>62</v>
      </c>
      <c r="C73" s="2" t="s">
        <v>39</v>
      </c>
      <c r="D73" s="2" t="s">
        <v>40</v>
      </c>
      <c r="E73" s="2" t="n">
        <v>31</v>
      </c>
      <c r="F73" s="2" t="s">
        <v>108</v>
      </c>
      <c r="G73" s="2" t="s">
        <v>107</v>
      </c>
      <c r="H73" s="8" t="n">
        <v>22370</v>
      </c>
      <c r="I73" s="8" t="n">
        <v>75343</v>
      </c>
      <c r="J73" s="9" t="n">
        <f aca="false">H73/I73</f>
        <v>0.296908803737574</v>
      </c>
      <c r="K73" s="10" t="n">
        <v>0.079</v>
      </c>
      <c r="L73" s="8" t="n">
        <v>26454</v>
      </c>
      <c r="M73" s="9" t="n">
        <f aca="false">L73/I73</f>
        <v>0.351114237553588</v>
      </c>
      <c r="N73" s="8" t="n">
        <v>26482</v>
      </c>
      <c r="O73" s="2" t="n">
        <v>0.77</v>
      </c>
      <c r="P73" s="2" t="n">
        <v>0.43</v>
      </c>
      <c r="Q73" s="10" t="n">
        <f aca="false">L73/H73-1</f>
        <v>0.182565936522128</v>
      </c>
      <c r="R73" s="10" t="n">
        <f aca="false">ABS(Q73)</f>
        <v>0.182565936522128</v>
      </c>
      <c r="S73" s="2" t="s">
        <v>43</v>
      </c>
      <c r="T73" s="2" t="n">
        <v>0.4</v>
      </c>
      <c r="U73" s="2" t="n">
        <v>1.015</v>
      </c>
    </row>
    <row r="74" customFormat="false" ht="15" hidden="false" customHeight="false" outlineLevel="0" collapsed="false">
      <c r="A74" s="2" t="s">
        <v>105</v>
      </c>
      <c r="B74" s="2" t="s">
        <v>63</v>
      </c>
      <c r="C74" s="2" t="s">
        <v>39</v>
      </c>
      <c r="D74" s="2" t="s">
        <v>40</v>
      </c>
      <c r="E74" s="2" t="n">
        <v>30</v>
      </c>
      <c r="F74" s="2" t="s">
        <v>109</v>
      </c>
      <c r="G74" s="2" t="s">
        <v>107</v>
      </c>
      <c r="H74" s="8" t="n">
        <v>25083</v>
      </c>
      <c r="I74" s="8" t="n">
        <v>79492</v>
      </c>
      <c r="J74" s="9" t="n">
        <f aca="false">H74/I74</f>
        <v>0.315541186534494</v>
      </c>
      <c r="K74" s="10" t="n">
        <v>0.107</v>
      </c>
      <c r="L74" s="8" t="n">
        <v>27499</v>
      </c>
      <c r="M74" s="9" t="n">
        <f aca="false">L74/I74</f>
        <v>0.345934182056056</v>
      </c>
      <c r="N74" s="8" t="n">
        <v>27692</v>
      </c>
      <c r="O74" s="2" t="n">
        <v>0.71</v>
      </c>
      <c r="P74" s="2" t="n">
        <v>0.35</v>
      </c>
      <c r="Q74" s="10" t="n">
        <f aca="false">L74/H74-1</f>
        <v>0.0963202168799586</v>
      </c>
      <c r="R74" s="10" t="n">
        <f aca="false">ABS(Q74)</f>
        <v>0.0963202168799586</v>
      </c>
      <c r="S74" s="2" t="s">
        <v>43</v>
      </c>
      <c r="T74" s="2" t="n">
        <v>0.4</v>
      </c>
      <c r="U74" s="2" t="n">
        <v>0.99</v>
      </c>
    </row>
    <row r="75" customFormat="false" ht="15" hidden="false" customHeight="false" outlineLevel="0" collapsed="false">
      <c r="A75" s="2" t="s">
        <v>105</v>
      </c>
      <c r="B75" s="2" t="s">
        <v>64</v>
      </c>
      <c r="C75" s="2" t="s">
        <v>39</v>
      </c>
      <c r="D75" s="2" t="s">
        <v>40</v>
      </c>
      <c r="E75" s="2" t="n">
        <v>31</v>
      </c>
      <c r="F75" s="2" t="s">
        <v>110</v>
      </c>
      <c r="G75" s="2" t="s">
        <v>107</v>
      </c>
      <c r="H75" s="8" t="n">
        <v>40782</v>
      </c>
      <c r="I75" s="8" t="n">
        <v>128010</v>
      </c>
      <c r="J75" s="9" t="n">
        <f aca="false">H75/I75</f>
        <v>0.318584485587064</v>
      </c>
      <c r="K75" s="10" t="n">
        <v>0.079</v>
      </c>
      <c r="L75" s="8" t="n">
        <v>42750</v>
      </c>
      <c r="M75" s="9" t="n">
        <f aca="false">L75/I75</f>
        <v>0.333958284509023</v>
      </c>
      <c r="N75" s="8" t="n">
        <v>42689</v>
      </c>
      <c r="O75" s="2" t="n">
        <v>0.71</v>
      </c>
      <c r="P75" s="2" t="n">
        <v>0.35</v>
      </c>
      <c r="Q75" s="10" t="n">
        <f aca="false">L75/H75-1</f>
        <v>0.0482565837869648</v>
      </c>
      <c r="R75" s="10" t="n">
        <f aca="false">ABS(Q75)</f>
        <v>0.0482565837869648</v>
      </c>
      <c r="S75" s="2" t="s">
        <v>43</v>
      </c>
      <c r="T75" s="2" t="n">
        <v>0.47</v>
      </c>
      <c r="U75" s="2" t="n">
        <v>1.08</v>
      </c>
    </row>
    <row r="76" customFormat="false" ht="15" hidden="false" customHeight="false" outlineLevel="0" collapsed="false">
      <c r="A76" s="2" t="s">
        <v>105</v>
      </c>
      <c r="B76" s="2" t="s">
        <v>65</v>
      </c>
      <c r="C76" s="2" t="s">
        <v>39</v>
      </c>
      <c r="D76" s="2" t="s">
        <v>40</v>
      </c>
      <c r="E76" s="2" t="n">
        <v>30</v>
      </c>
      <c r="F76" s="2" t="s">
        <v>82</v>
      </c>
      <c r="G76" s="2" t="s">
        <v>88</v>
      </c>
      <c r="H76" s="8" t="n">
        <v>29067</v>
      </c>
      <c r="I76" s="8" t="n">
        <v>83678</v>
      </c>
      <c r="J76" s="9" t="n">
        <f aca="false">H76/I76</f>
        <v>0.347367288893138</v>
      </c>
      <c r="K76" s="10" t="n">
        <v>0.119</v>
      </c>
      <c r="L76" s="8" t="n">
        <v>29185</v>
      </c>
      <c r="M76" s="9" t="n">
        <f aca="false">L76/I76</f>
        <v>0.348777456440164</v>
      </c>
      <c r="N76" s="8" t="n">
        <v>28669</v>
      </c>
      <c r="O76" s="2" t="n">
        <v>0.71</v>
      </c>
      <c r="P76" s="2" t="n">
        <v>0.35</v>
      </c>
      <c r="Q76" s="10" t="n">
        <f aca="false">L76/H76-1</f>
        <v>0.00405958647263227</v>
      </c>
      <c r="R76" s="10" t="n">
        <f aca="false">ABS(Q76)</f>
        <v>0.00405958647263227</v>
      </c>
      <c r="S76" s="2" t="s">
        <v>43</v>
      </c>
      <c r="T76" s="2" t="n">
        <v>0.31</v>
      </c>
      <c r="U76" s="2" t="n">
        <v>1.25</v>
      </c>
    </row>
    <row r="77" customFormat="false" ht="15" hidden="false" customHeight="false" outlineLevel="0" collapsed="false">
      <c r="A77" s="2" t="s">
        <v>111</v>
      </c>
      <c r="B77" s="2" t="s">
        <v>44</v>
      </c>
      <c r="C77" s="2" t="s">
        <v>39</v>
      </c>
      <c r="D77" s="2" t="s">
        <v>40</v>
      </c>
      <c r="E77" s="2" t="n">
        <v>26</v>
      </c>
      <c r="F77" s="2" t="s">
        <v>41</v>
      </c>
      <c r="G77" s="2" t="s">
        <v>42</v>
      </c>
      <c r="H77" s="8" t="n">
        <v>40133</v>
      </c>
      <c r="I77" s="8" t="n">
        <v>112354</v>
      </c>
      <c r="J77" s="9" t="n">
        <f aca="false">H77/I77</f>
        <v>0.35720134574648</v>
      </c>
      <c r="K77" s="10" t="n">
        <v>0.107</v>
      </c>
      <c r="L77" s="8" t="n">
        <v>37440</v>
      </c>
      <c r="M77" s="9" t="n">
        <f aca="false">L77/I77</f>
        <v>0.333232461683607</v>
      </c>
      <c r="N77" s="8" t="n">
        <v>38205</v>
      </c>
      <c r="O77" s="2" t="n">
        <v>0.63</v>
      </c>
      <c r="P77" s="2" t="n">
        <v>0.33</v>
      </c>
      <c r="Q77" s="10" t="n">
        <f aca="false">L77/H77-1</f>
        <v>-0.0671018862282909</v>
      </c>
      <c r="R77" s="10" t="n">
        <f aca="false">ABS(Q77)</f>
        <v>0.0671018862282909</v>
      </c>
      <c r="S77" s="2" t="s">
        <v>43</v>
      </c>
      <c r="T77" s="2" t="n">
        <v>0.41</v>
      </c>
      <c r="U77" s="2" t="n">
        <v>1.087</v>
      </c>
    </row>
    <row r="78" customFormat="false" ht="15" hidden="false" customHeight="false" outlineLevel="0" collapsed="false">
      <c r="A78" s="2" t="s">
        <v>111</v>
      </c>
      <c r="B78" s="2" t="s">
        <v>46</v>
      </c>
      <c r="C78" s="2" t="s">
        <v>39</v>
      </c>
      <c r="D78" s="2" t="s">
        <v>40</v>
      </c>
      <c r="E78" s="2" t="n">
        <v>31</v>
      </c>
      <c r="F78" s="2" t="s">
        <v>112</v>
      </c>
      <c r="G78" s="2" t="s">
        <v>113</v>
      </c>
      <c r="H78" s="8" t="n">
        <v>92539</v>
      </c>
      <c r="I78" s="8" t="n">
        <v>275210</v>
      </c>
      <c r="J78" s="9" t="n">
        <f aca="false">H78/I78</f>
        <v>0.336248682824025</v>
      </c>
      <c r="K78" s="10" t="n">
        <v>0.07</v>
      </c>
      <c r="L78" s="8" t="n">
        <v>90835</v>
      </c>
      <c r="M78" s="9" t="n">
        <f aca="false">L78/I78</f>
        <v>0.330057047345663</v>
      </c>
      <c r="N78" s="8" t="n">
        <v>89940</v>
      </c>
      <c r="O78" s="2" t="n">
        <v>0.63</v>
      </c>
      <c r="P78" s="2" t="n">
        <v>0.33</v>
      </c>
      <c r="Q78" s="10" t="n">
        <f aca="false">L78/H78-1</f>
        <v>-0.0184138579409763</v>
      </c>
      <c r="R78" s="10" t="n">
        <f aca="false">ABS(Q78)</f>
        <v>0.0184138579409763</v>
      </c>
      <c r="S78" s="2" t="s">
        <v>43</v>
      </c>
      <c r="T78" s="2" t="n">
        <v>0.44</v>
      </c>
      <c r="U78" s="2" t="n">
        <v>1.016</v>
      </c>
    </row>
    <row r="79" customFormat="false" ht="15" hidden="false" customHeight="false" outlineLevel="0" collapsed="false">
      <c r="A79" s="2" t="s">
        <v>111</v>
      </c>
      <c r="B79" s="2" t="s">
        <v>76</v>
      </c>
      <c r="C79" s="2" t="s">
        <v>39</v>
      </c>
      <c r="D79" s="2" t="s">
        <v>40</v>
      </c>
      <c r="E79" s="2" t="n">
        <v>29</v>
      </c>
      <c r="F79" s="2" t="s">
        <v>114</v>
      </c>
      <c r="G79" s="2" t="s">
        <v>115</v>
      </c>
      <c r="H79" s="8" t="n">
        <v>162052</v>
      </c>
      <c r="I79" s="8" t="n">
        <v>444898</v>
      </c>
      <c r="J79" s="9" t="n">
        <f aca="false">H79/I79</f>
        <v>0.364245287683919</v>
      </c>
      <c r="K79" s="10" t="n">
        <v>0.05</v>
      </c>
      <c r="L79" s="8" t="n">
        <v>144104</v>
      </c>
      <c r="M79" s="9" t="n">
        <f aca="false">L79/I79</f>
        <v>0.323903456522619</v>
      </c>
      <c r="N79" s="8" t="n">
        <v>138198</v>
      </c>
      <c r="O79" s="2" t="n">
        <v>0.66</v>
      </c>
      <c r="P79" s="2" t="n">
        <v>0.42</v>
      </c>
      <c r="Q79" s="10" t="n">
        <f aca="false">L79/H79-1</f>
        <v>-0.110754572606324</v>
      </c>
      <c r="R79" s="10" t="n">
        <f aca="false">ABS(Q79)</f>
        <v>0.110754572606324</v>
      </c>
      <c r="S79" s="2" t="s">
        <v>43</v>
      </c>
      <c r="T79" s="2" t="n">
        <v>0.44</v>
      </c>
      <c r="U79" s="2" t="n">
        <v>1.171</v>
      </c>
    </row>
    <row r="80" customFormat="false" ht="15" hidden="false" customHeight="false" outlineLevel="0" collapsed="false">
      <c r="A80" s="2" t="s">
        <v>111</v>
      </c>
      <c r="B80" s="2" t="s">
        <v>50</v>
      </c>
      <c r="C80" s="2" t="s">
        <v>39</v>
      </c>
      <c r="D80" s="2" t="s">
        <v>40</v>
      </c>
      <c r="E80" s="2" t="n">
        <v>29</v>
      </c>
      <c r="F80" s="2" t="s">
        <v>116</v>
      </c>
      <c r="G80" s="2" t="s">
        <v>115</v>
      </c>
      <c r="H80" s="8" t="n">
        <v>131057</v>
      </c>
      <c r="I80" s="8" t="n">
        <v>418506</v>
      </c>
      <c r="J80" s="9" t="n">
        <f aca="false">H80/I80</f>
        <v>0.313154411167343</v>
      </c>
      <c r="K80" s="10" t="n">
        <v>0.054</v>
      </c>
      <c r="L80" s="8" t="n">
        <v>128712</v>
      </c>
      <c r="M80" s="9" t="n">
        <f aca="false">L80/I80</f>
        <v>0.307551146220126</v>
      </c>
      <c r="N80" s="8" t="n">
        <v>128573</v>
      </c>
      <c r="O80" s="2" t="n">
        <v>0.66</v>
      </c>
      <c r="P80" s="2" t="n">
        <v>0.42</v>
      </c>
      <c r="Q80" s="10" t="n">
        <f aca="false">L80/H80-1</f>
        <v>-0.0178929778645933</v>
      </c>
      <c r="R80" s="10" t="n">
        <f aca="false">ABS(Q80)</f>
        <v>0.0178929778645933</v>
      </c>
      <c r="S80" s="2" t="s">
        <v>43</v>
      </c>
      <c r="T80" s="2" t="n">
        <v>0.49</v>
      </c>
      <c r="U80" s="2" t="n">
        <v>0.988</v>
      </c>
    </row>
    <row r="81" customFormat="false" ht="15" hidden="false" customHeight="false" outlineLevel="0" collapsed="false">
      <c r="A81" s="2" t="s">
        <v>111</v>
      </c>
      <c r="B81" s="2" t="s">
        <v>52</v>
      </c>
      <c r="C81" s="2" t="s">
        <v>39</v>
      </c>
      <c r="D81" s="2" t="s">
        <v>40</v>
      </c>
      <c r="E81" s="2" t="n">
        <v>31</v>
      </c>
      <c r="F81" s="2" t="s">
        <v>116</v>
      </c>
      <c r="G81" s="2" t="s">
        <v>115</v>
      </c>
      <c r="H81" s="8" t="n">
        <v>112155</v>
      </c>
      <c r="I81" s="8" t="n">
        <v>352342</v>
      </c>
      <c r="J81" s="9" t="n">
        <f aca="false">H81/I81</f>
        <v>0.318312889181534</v>
      </c>
      <c r="K81" s="10" t="n">
        <v>0.061</v>
      </c>
      <c r="L81" s="8" t="n">
        <v>106581</v>
      </c>
      <c r="M81" s="9" t="n">
        <f aca="false">L81/I81</f>
        <v>0.302493032337899</v>
      </c>
      <c r="N81" s="8" t="n">
        <v>106627</v>
      </c>
      <c r="O81" s="2" t="n">
        <v>0.66</v>
      </c>
      <c r="P81" s="2" t="n">
        <v>0.43</v>
      </c>
      <c r="Q81" s="10" t="n">
        <f aca="false">L81/H81-1</f>
        <v>-0.049699077169988</v>
      </c>
      <c r="R81" s="10" t="n">
        <f aca="false">ABS(Q81)</f>
        <v>0.049699077169988</v>
      </c>
      <c r="S81" s="2" t="s">
        <v>43</v>
      </c>
      <c r="T81" s="2" t="n">
        <v>0.49</v>
      </c>
      <c r="U81" s="2" t="n">
        <v>0.967</v>
      </c>
    </row>
    <row r="82" customFormat="false" ht="15" hidden="false" customHeight="false" outlineLevel="0" collapsed="false">
      <c r="A82" s="2" t="s">
        <v>117</v>
      </c>
      <c r="B82" s="2" t="s">
        <v>64</v>
      </c>
      <c r="C82" s="2" t="s">
        <v>39</v>
      </c>
      <c r="D82" s="2" t="s">
        <v>40</v>
      </c>
      <c r="E82" s="2" t="n">
        <v>31</v>
      </c>
      <c r="F82" s="2" t="s">
        <v>104</v>
      </c>
      <c r="G82" s="2" t="s">
        <v>118</v>
      </c>
      <c r="H82" s="8" t="n">
        <v>157342</v>
      </c>
      <c r="I82" s="8" t="n">
        <v>516223</v>
      </c>
      <c r="J82" s="9" t="n">
        <f aca="false">H82/I82</f>
        <v>0.30479463332707</v>
      </c>
      <c r="K82" s="10" t="n">
        <v>0</v>
      </c>
      <c r="L82" s="8" t="n">
        <v>162171</v>
      </c>
      <c r="M82" s="9" t="n">
        <f aca="false">L82/I82</f>
        <v>0.314149117726254</v>
      </c>
      <c r="N82" s="8" t="n">
        <v>156450</v>
      </c>
      <c r="O82" s="2" t="n">
        <v>0.74</v>
      </c>
      <c r="P82" s="2" t="n">
        <v>0.49</v>
      </c>
      <c r="Q82" s="10" t="n">
        <f aca="false">L82/H82-1</f>
        <v>0.0306911059983983</v>
      </c>
      <c r="R82" s="10" t="n">
        <f aca="false">ABS(Q82)</f>
        <v>0.0306911059983983</v>
      </c>
      <c r="S82" s="2" t="s">
        <v>43</v>
      </c>
      <c r="T82" s="2" t="n">
        <v>0.47</v>
      </c>
      <c r="U82" s="2" t="n">
        <v>0.988</v>
      </c>
    </row>
    <row r="83" customFormat="false" ht="15" hidden="false" customHeight="false" outlineLevel="0" collapsed="false">
      <c r="A83" s="2" t="s">
        <v>117</v>
      </c>
      <c r="B83" s="2" t="s">
        <v>65</v>
      </c>
      <c r="C83" s="2" t="s">
        <v>39</v>
      </c>
      <c r="D83" s="2" t="s">
        <v>40</v>
      </c>
      <c r="E83" s="2" t="n">
        <v>30</v>
      </c>
      <c r="F83" s="2" t="s">
        <v>102</v>
      </c>
      <c r="G83" s="2" t="s">
        <v>99</v>
      </c>
      <c r="H83" s="8" t="n">
        <v>198452</v>
      </c>
      <c r="I83" s="8" t="n">
        <v>654121</v>
      </c>
      <c r="J83" s="9" t="n">
        <f aca="false">H83/I83</f>
        <v>0.303387293788152</v>
      </c>
      <c r="K83" s="10" t="n">
        <v>0.047</v>
      </c>
      <c r="L83" s="8" t="n">
        <v>198486</v>
      </c>
      <c r="M83" s="9" t="n">
        <f aca="false">L83/I83</f>
        <v>0.303439271938984</v>
      </c>
      <c r="N83" s="8" t="n">
        <v>199165</v>
      </c>
      <c r="O83" s="2" t="n">
        <v>0.74</v>
      </c>
      <c r="P83" s="2" t="n">
        <v>0.49</v>
      </c>
      <c r="Q83" s="10" t="n">
        <f aca="false">L83/H83-1</f>
        <v>0.000171326063733268</v>
      </c>
      <c r="R83" s="10" t="n">
        <f aca="false">ABS(Q83)</f>
        <v>0.000171326063733268</v>
      </c>
      <c r="S83" s="2" t="s">
        <v>43</v>
      </c>
      <c r="T83" s="2" t="n">
        <v>0.55</v>
      </c>
      <c r="U83" s="2" t="n">
        <v>1.022</v>
      </c>
    </row>
    <row r="84" customFormat="false" ht="15" hidden="false" customHeight="false" outlineLevel="0" collapsed="false">
      <c r="A84" s="2" t="s">
        <v>117</v>
      </c>
      <c r="B84" s="2" t="s">
        <v>66</v>
      </c>
      <c r="C84" s="2" t="s">
        <v>39</v>
      </c>
      <c r="D84" s="2" t="s">
        <v>40</v>
      </c>
      <c r="E84" s="2" t="n">
        <v>31</v>
      </c>
      <c r="F84" s="2" t="s">
        <v>119</v>
      </c>
      <c r="G84" s="2" t="s">
        <v>99</v>
      </c>
      <c r="H84" s="8" t="n">
        <v>228232</v>
      </c>
      <c r="I84" s="8" t="n">
        <v>756449</v>
      </c>
      <c r="J84" s="9" t="n">
        <f aca="false">H84/I84</f>
        <v>0.301714986734069</v>
      </c>
      <c r="K84" s="10" t="n">
        <v>0.072</v>
      </c>
      <c r="L84" s="8" t="n">
        <v>232876</v>
      </c>
      <c r="M84" s="9" t="n">
        <f aca="false">L84/I84</f>
        <v>0.307854197705331</v>
      </c>
      <c r="N84" s="8" t="n">
        <v>232639</v>
      </c>
      <c r="O84" s="2" t="n">
        <v>0.66</v>
      </c>
      <c r="P84" s="2" t="n">
        <v>0.49</v>
      </c>
      <c r="Q84" s="10" t="n">
        <f aca="false">L84/H84-1</f>
        <v>0.0203477163587928</v>
      </c>
      <c r="R84" s="10" t="n">
        <f aca="false">ABS(Q84)</f>
        <v>0.0203477163587928</v>
      </c>
      <c r="S84" s="2" t="s">
        <v>43</v>
      </c>
      <c r="T84" s="2" t="n">
        <v>0.5</v>
      </c>
      <c r="U84" s="2" t="n">
        <v>0.949</v>
      </c>
    </row>
    <row r="85" customFormat="false" ht="15" hidden="false" customHeight="false" outlineLevel="0" collapsed="false">
      <c r="A85" s="2" t="s">
        <v>117</v>
      </c>
      <c r="B85" s="2" t="s">
        <v>67</v>
      </c>
      <c r="C85" s="2" t="s">
        <v>39</v>
      </c>
      <c r="D85" s="2" t="s">
        <v>40</v>
      </c>
      <c r="E85" s="2" t="n">
        <v>31</v>
      </c>
      <c r="F85" s="2" t="s">
        <v>120</v>
      </c>
      <c r="G85" s="2" t="s">
        <v>99</v>
      </c>
      <c r="H85" s="8" t="n">
        <v>284741</v>
      </c>
      <c r="I85" s="8" t="n">
        <v>958885</v>
      </c>
      <c r="J85" s="9" t="n">
        <f aca="false">H85/I85</f>
        <v>0.296950103505634</v>
      </c>
      <c r="K85" s="10" t="n">
        <v>0.051</v>
      </c>
      <c r="L85" s="8" t="n">
        <v>293784</v>
      </c>
      <c r="M85" s="9" t="n">
        <f aca="false">L85/I85</f>
        <v>0.306380848589768</v>
      </c>
      <c r="N85" s="8" t="n">
        <v>293073</v>
      </c>
      <c r="O85" s="2" t="n">
        <v>0.66</v>
      </c>
      <c r="P85" s="2" t="n">
        <v>0.49</v>
      </c>
      <c r="Q85" s="10" t="n">
        <f aca="false">L85/H85-1</f>
        <v>0.0317586859637355</v>
      </c>
      <c r="R85" s="10" t="n">
        <f aca="false">ABS(Q85)</f>
        <v>0.0317586859637355</v>
      </c>
      <c r="S85" s="2" t="s">
        <v>43</v>
      </c>
      <c r="T85" s="2" t="n">
        <v>0.55</v>
      </c>
      <c r="U85" s="2" t="n">
        <v>1.026</v>
      </c>
    </row>
    <row r="86" customFormat="false" ht="15" hidden="false" customHeight="false" outlineLevel="0" collapsed="false">
      <c r="A86" s="2" t="s">
        <v>117</v>
      </c>
      <c r="B86" s="2" t="s">
        <v>68</v>
      </c>
      <c r="C86" s="2" t="s">
        <v>39</v>
      </c>
      <c r="D86" s="2" t="s">
        <v>40</v>
      </c>
      <c r="E86" s="2" t="n">
        <v>30</v>
      </c>
      <c r="F86" s="2" t="s">
        <v>121</v>
      </c>
      <c r="G86" s="2" t="s">
        <v>99</v>
      </c>
      <c r="H86" s="8" t="n">
        <v>225142</v>
      </c>
      <c r="I86" s="8" t="n">
        <v>742778</v>
      </c>
      <c r="J86" s="9" t="n">
        <f aca="false">H86/I86</f>
        <v>0.303108061897364</v>
      </c>
      <c r="K86" s="10" t="n">
        <v>0.114</v>
      </c>
      <c r="L86" s="8" t="n">
        <v>229614</v>
      </c>
      <c r="M86" s="9" t="n">
        <f aca="false">L86/I86</f>
        <v>0.309128703327239</v>
      </c>
      <c r="N86" s="8" t="n">
        <v>229075</v>
      </c>
      <c r="O86" s="2" t="n">
        <v>0.66</v>
      </c>
      <c r="P86" s="2" t="n">
        <v>0.49</v>
      </c>
      <c r="Q86" s="10" t="n">
        <f aca="false">L86/H86-1</f>
        <v>0.0198630197830703</v>
      </c>
      <c r="R86" s="10" t="n">
        <f aca="false">ABS(Q86)</f>
        <v>0.0198630197830703</v>
      </c>
      <c r="S86" s="2" t="s">
        <v>43</v>
      </c>
      <c r="T86" s="2" t="n">
        <v>0.51</v>
      </c>
      <c r="U86" s="2" t="n">
        <v>0.968</v>
      </c>
    </row>
    <row r="87" customFormat="false" ht="15" hidden="false" customHeight="false" outlineLevel="0" collapsed="false">
      <c r="A87" s="2" t="s">
        <v>122</v>
      </c>
      <c r="B87" s="2" t="s">
        <v>59</v>
      </c>
      <c r="C87" s="2" t="s">
        <v>39</v>
      </c>
      <c r="D87" s="2" t="s">
        <v>40</v>
      </c>
      <c r="E87" s="2" t="n">
        <v>31</v>
      </c>
      <c r="F87" s="2" t="s">
        <v>55</v>
      </c>
      <c r="G87" s="2" t="s">
        <v>123</v>
      </c>
      <c r="H87" s="8" t="n">
        <v>48838</v>
      </c>
      <c r="I87" s="8" t="n">
        <v>128206</v>
      </c>
      <c r="J87" s="9" t="n">
        <f aca="false">H87/I87</f>
        <v>0.380933809650094</v>
      </c>
      <c r="K87" s="10" t="n">
        <v>0</v>
      </c>
      <c r="L87" s="8" t="n">
        <v>44490</v>
      </c>
      <c r="M87" s="9" t="n">
        <f aca="false">L87/I87</f>
        <v>0.347019640266446</v>
      </c>
      <c r="N87" s="8" t="n">
        <v>44978</v>
      </c>
      <c r="O87" s="2" t="n">
        <v>0.47</v>
      </c>
      <c r="P87" s="2" t="n">
        <v>0.28</v>
      </c>
      <c r="Q87" s="10" t="n">
        <f aca="false">L87/H87-1</f>
        <v>-0.0890290347680085</v>
      </c>
      <c r="R87" s="10" t="n">
        <f aca="false">ABS(Q87)</f>
        <v>0.0890290347680085</v>
      </c>
      <c r="S87" s="2" t="s">
        <v>43</v>
      </c>
      <c r="T87" s="2" t="n">
        <v>0.33</v>
      </c>
      <c r="U87" s="2" t="n">
        <v>1.022</v>
      </c>
    </row>
    <row r="88" customFormat="false" ht="15" hidden="false" customHeight="false" outlineLevel="0" collapsed="false">
      <c r="A88" s="2" t="s">
        <v>122</v>
      </c>
      <c r="B88" s="2" t="s">
        <v>60</v>
      </c>
      <c r="C88" s="2" t="s">
        <v>39</v>
      </c>
      <c r="D88" s="2" t="s">
        <v>40</v>
      </c>
      <c r="E88" s="2" t="n">
        <v>31</v>
      </c>
      <c r="F88" s="2" t="s">
        <v>84</v>
      </c>
      <c r="G88" s="2" t="s">
        <v>123</v>
      </c>
      <c r="H88" s="8" t="n">
        <v>44041</v>
      </c>
      <c r="I88" s="8" t="n">
        <v>126893</v>
      </c>
      <c r="J88" s="9" t="n">
        <f aca="false">H88/I88</f>
        <v>0.347071942502739</v>
      </c>
      <c r="K88" s="10" t="n">
        <v>0</v>
      </c>
      <c r="L88" s="8" t="n">
        <v>42343</v>
      </c>
      <c r="M88" s="9" t="n">
        <f aca="false">L88/I88</f>
        <v>0.33369058970944</v>
      </c>
      <c r="N88" s="8" t="n">
        <v>42607</v>
      </c>
      <c r="O88" s="2" t="n">
        <v>0.67</v>
      </c>
      <c r="P88" s="2" t="n">
        <v>0.33</v>
      </c>
      <c r="Q88" s="10" t="n">
        <f aca="false">L88/H88-1</f>
        <v>-0.0385549828568834</v>
      </c>
      <c r="R88" s="10" t="n">
        <f aca="false">ABS(Q88)</f>
        <v>0.0385549828568834</v>
      </c>
      <c r="S88" s="2" t="s">
        <v>43</v>
      </c>
      <c r="T88" s="2" t="n">
        <v>0.4</v>
      </c>
      <c r="U88" s="2" t="n">
        <v>1</v>
      </c>
    </row>
    <row r="89" customFormat="false" ht="15" hidden="false" customHeight="false" outlineLevel="0" collapsed="false">
      <c r="A89" s="2" t="s">
        <v>122</v>
      </c>
      <c r="B89" s="2" t="s">
        <v>61</v>
      </c>
      <c r="C89" s="2" t="s">
        <v>39</v>
      </c>
      <c r="D89" s="2" t="s">
        <v>40</v>
      </c>
      <c r="E89" s="2" t="n">
        <v>28</v>
      </c>
      <c r="F89" s="2" t="s">
        <v>84</v>
      </c>
      <c r="G89" s="2" t="s">
        <v>123</v>
      </c>
      <c r="H89" s="8" t="n">
        <v>43850</v>
      </c>
      <c r="I89" s="8" t="n">
        <v>133181</v>
      </c>
      <c r="J89" s="9" t="n">
        <f aca="false">H89/I89</f>
        <v>0.329251169461109</v>
      </c>
      <c r="K89" s="10" t="n">
        <v>0.056</v>
      </c>
      <c r="L89" s="8" t="n">
        <v>43984</v>
      </c>
      <c r="M89" s="9" t="n">
        <f aca="false">L89/I89</f>
        <v>0.330257318986943</v>
      </c>
      <c r="N89" s="8" t="n">
        <v>44114</v>
      </c>
      <c r="O89" s="2" t="n">
        <v>0.67</v>
      </c>
      <c r="P89" s="2" t="n">
        <v>0.33</v>
      </c>
      <c r="Q89" s="10" t="n">
        <f aca="false">L89/H89-1</f>
        <v>0.00305587229190429</v>
      </c>
      <c r="R89" s="10" t="n">
        <f aca="false">ABS(Q89)</f>
        <v>0.00305587229190429</v>
      </c>
      <c r="S89" s="2" t="s">
        <v>43</v>
      </c>
      <c r="T89" s="2" t="n">
        <v>0.43</v>
      </c>
      <c r="U89" s="2" t="n">
        <v>1.01</v>
      </c>
    </row>
    <row r="90" customFormat="false" ht="15" hidden="false" customHeight="false" outlineLevel="0" collapsed="false">
      <c r="A90" s="2" t="s">
        <v>122</v>
      </c>
      <c r="B90" s="2" t="s">
        <v>62</v>
      </c>
      <c r="C90" s="2" t="s">
        <v>39</v>
      </c>
      <c r="D90" s="2" t="s">
        <v>40</v>
      </c>
      <c r="E90" s="2" t="n">
        <v>31</v>
      </c>
      <c r="F90" s="2" t="s">
        <v>84</v>
      </c>
      <c r="G90" s="2" t="s">
        <v>123</v>
      </c>
      <c r="H90" s="8" t="n">
        <v>34501</v>
      </c>
      <c r="I90" s="8" t="n">
        <v>99937</v>
      </c>
      <c r="J90" s="9" t="n">
        <f aca="false">H90/I90</f>
        <v>0.345227493320792</v>
      </c>
      <c r="K90" s="10" t="n">
        <v>0.345</v>
      </c>
      <c r="L90" s="8" t="n">
        <v>35137</v>
      </c>
      <c r="M90" s="9" t="n">
        <f aca="false">L90/I90</f>
        <v>0.351591502646667</v>
      </c>
      <c r="N90" s="8" t="n">
        <v>35345</v>
      </c>
      <c r="O90" s="2" t="n">
        <v>0.67</v>
      </c>
      <c r="P90" s="2" t="n">
        <v>0.33</v>
      </c>
      <c r="Q90" s="10" t="n">
        <f aca="false">L90/H90-1</f>
        <v>0.0184342482826585</v>
      </c>
      <c r="R90" s="10" t="n">
        <f aca="false">ABS(Q90)</f>
        <v>0.0184342482826585</v>
      </c>
      <c r="S90" s="2" t="s">
        <v>43</v>
      </c>
      <c r="T90" s="2" t="n">
        <v>0.32</v>
      </c>
      <c r="U90" s="2" t="n">
        <v>1.005</v>
      </c>
    </row>
    <row r="91" customFormat="false" ht="15" hidden="false" customHeight="false" outlineLevel="0" collapsed="false">
      <c r="A91" s="2" t="s">
        <v>122</v>
      </c>
      <c r="B91" s="2" t="s">
        <v>63</v>
      </c>
      <c r="C91" s="2" t="s">
        <v>39</v>
      </c>
      <c r="D91" s="2" t="s">
        <v>40</v>
      </c>
      <c r="E91" s="2" t="n">
        <v>30</v>
      </c>
      <c r="F91" s="2" t="s">
        <v>55</v>
      </c>
      <c r="G91" s="2" t="s">
        <v>123</v>
      </c>
      <c r="H91" s="8" t="n">
        <v>50529</v>
      </c>
      <c r="I91" s="8" t="n">
        <v>147072</v>
      </c>
      <c r="J91" s="9" t="n">
        <f aca="false">H91/I91</f>
        <v>0.343566416449086</v>
      </c>
      <c r="K91" s="10" t="n">
        <v>0.313</v>
      </c>
      <c r="L91" s="8" t="n">
        <v>49255</v>
      </c>
      <c r="M91" s="9" t="n">
        <f aca="false">L91/I91</f>
        <v>0.334903992602263</v>
      </c>
      <c r="N91" s="8" t="n">
        <v>49976</v>
      </c>
      <c r="O91" s="2" t="n">
        <v>0.66</v>
      </c>
      <c r="P91" s="2" t="n">
        <v>0.32</v>
      </c>
      <c r="Q91" s="10" t="n">
        <f aca="false">L91/H91-1</f>
        <v>-0.0252132438797522</v>
      </c>
      <c r="R91" s="10" t="n">
        <f aca="false">ABS(Q91)</f>
        <v>0.0252132438797522</v>
      </c>
      <c r="S91" s="2" t="s">
        <v>43</v>
      </c>
      <c r="T91" s="2" t="n">
        <v>0.4</v>
      </c>
      <c r="U91" s="2" t="n">
        <v>0.99</v>
      </c>
    </row>
    <row r="92" customFormat="false" ht="15" hidden="false" customHeight="false" outlineLevel="0" collapsed="false">
      <c r="A92" s="2" t="s">
        <v>122</v>
      </c>
      <c r="B92" s="2" t="s">
        <v>64</v>
      </c>
      <c r="C92" s="2" t="s">
        <v>39</v>
      </c>
      <c r="D92" s="2" t="s">
        <v>40</v>
      </c>
      <c r="E92" s="2" t="n">
        <v>31</v>
      </c>
      <c r="F92" s="2" t="s">
        <v>84</v>
      </c>
      <c r="G92" s="2" t="s">
        <v>123</v>
      </c>
      <c r="H92" s="8" t="n">
        <v>65620</v>
      </c>
      <c r="I92" s="8" t="n">
        <v>195950</v>
      </c>
      <c r="J92" s="9" t="n">
        <f aca="false">H92/I92</f>
        <v>0.33488134728247</v>
      </c>
      <c r="K92" s="10" t="n">
        <v>0.292</v>
      </c>
      <c r="L92" s="8" t="n">
        <v>64690</v>
      </c>
      <c r="M92" s="9" t="n">
        <f aca="false">L92/I92</f>
        <v>0.330135238581271</v>
      </c>
      <c r="N92" s="8" t="n">
        <v>65246</v>
      </c>
      <c r="O92" s="2" t="n">
        <v>0.66</v>
      </c>
      <c r="P92" s="2" t="n">
        <v>0.32</v>
      </c>
      <c r="Q92" s="10" t="n">
        <f aca="false">L92/H92-1</f>
        <v>-0.014172508381591</v>
      </c>
      <c r="R92" s="10" t="n">
        <f aca="false">ABS(Q92)</f>
        <v>0.014172508381591</v>
      </c>
      <c r="S92" s="2" t="s">
        <v>43</v>
      </c>
      <c r="T92" s="2" t="n">
        <v>0.43</v>
      </c>
      <c r="U92" s="2" t="n">
        <v>1.006</v>
      </c>
    </row>
    <row r="93" customFormat="false" ht="15" hidden="false" customHeight="false" outlineLevel="0" collapsed="false">
      <c r="A93" s="2" t="s">
        <v>122</v>
      </c>
      <c r="B93" s="2" t="s">
        <v>65</v>
      </c>
      <c r="C93" s="2" t="s">
        <v>39</v>
      </c>
      <c r="D93" s="2" t="s">
        <v>40</v>
      </c>
      <c r="E93" s="2" t="n">
        <v>30</v>
      </c>
      <c r="F93" s="2" t="s">
        <v>84</v>
      </c>
      <c r="G93" s="2" t="s">
        <v>123</v>
      </c>
      <c r="H93" s="8" t="n">
        <v>72070</v>
      </c>
      <c r="I93" s="8" t="n">
        <v>218178</v>
      </c>
      <c r="J93" s="9" t="n">
        <f aca="false">H93/I93</f>
        <v>0.330326614049079</v>
      </c>
      <c r="K93" s="10" t="n">
        <v>0.274</v>
      </c>
      <c r="L93" s="8" t="n">
        <v>71364</v>
      </c>
      <c r="M93" s="9" t="n">
        <f aca="false">L93/I93</f>
        <v>0.327090724087672</v>
      </c>
      <c r="N93" s="8" t="n">
        <v>71730</v>
      </c>
      <c r="O93" s="2" t="n">
        <v>0.66</v>
      </c>
      <c r="P93" s="2" t="n">
        <v>0.32</v>
      </c>
      <c r="Q93" s="10" t="n">
        <f aca="false">L93/H93-1</f>
        <v>-0.00979603163590959</v>
      </c>
      <c r="R93" s="10" t="n">
        <f aca="false">ABS(Q93)</f>
        <v>0.00979603163590959</v>
      </c>
      <c r="S93" s="2" t="s">
        <v>43</v>
      </c>
      <c r="T93" s="2" t="n">
        <v>0.45</v>
      </c>
      <c r="U93" s="2" t="n">
        <v>0.995</v>
      </c>
    </row>
    <row r="94" customFormat="false" ht="15" hidden="false" customHeight="false" outlineLevel="0" collapsed="false">
      <c r="A94" s="2" t="s">
        <v>122</v>
      </c>
      <c r="B94" s="2" t="s">
        <v>66</v>
      </c>
      <c r="C94" s="2" t="s">
        <v>39</v>
      </c>
      <c r="D94" s="2" t="s">
        <v>40</v>
      </c>
      <c r="E94" s="2" t="n">
        <v>31</v>
      </c>
      <c r="F94" s="2" t="s">
        <v>124</v>
      </c>
      <c r="G94" s="2" t="s">
        <v>125</v>
      </c>
      <c r="H94" s="8" t="n">
        <v>87200</v>
      </c>
      <c r="I94" s="8" t="n">
        <v>268722</v>
      </c>
      <c r="J94" s="9" t="n">
        <f aca="false">H94/I94</f>
        <v>0.324498924539115</v>
      </c>
      <c r="K94" s="10" t="n">
        <v>0.227</v>
      </c>
      <c r="L94" s="8" t="n">
        <v>87628</v>
      </c>
      <c r="M94" s="9" t="n">
        <f aca="false">L94/I94</f>
        <v>0.326091648618275</v>
      </c>
      <c r="N94" s="8" t="n">
        <v>89094</v>
      </c>
      <c r="O94" s="2" t="n">
        <v>0.62</v>
      </c>
      <c r="P94" s="2" t="n">
        <v>0.35</v>
      </c>
      <c r="Q94" s="10" t="n">
        <f aca="false">L94/H94-1</f>
        <v>0.00490825688073393</v>
      </c>
      <c r="R94" s="10" t="n">
        <f aca="false">ABS(Q94)</f>
        <v>0.00490825688073393</v>
      </c>
      <c r="S94" s="2" t="s">
        <v>43</v>
      </c>
      <c r="T94" s="2" t="n">
        <v>0.46</v>
      </c>
      <c r="U94" s="2" t="n">
        <v>0.988</v>
      </c>
    </row>
    <row r="95" customFormat="false" ht="15" hidden="false" customHeight="false" outlineLevel="0" collapsed="false">
      <c r="A95" s="2" t="s">
        <v>122</v>
      </c>
      <c r="B95" s="2" t="s">
        <v>67</v>
      </c>
      <c r="C95" s="2" t="s">
        <v>39</v>
      </c>
      <c r="D95" s="2" t="s">
        <v>40</v>
      </c>
      <c r="E95" s="2" t="n">
        <v>31</v>
      </c>
      <c r="F95" s="2" t="s">
        <v>126</v>
      </c>
      <c r="G95" s="2" t="s">
        <v>42</v>
      </c>
      <c r="H95" s="8" t="n">
        <v>95844</v>
      </c>
      <c r="I95" s="8" t="n">
        <v>292160</v>
      </c>
      <c r="J95" s="9" t="n">
        <f aca="false">H95/I95</f>
        <v>0.328053121577218</v>
      </c>
      <c r="K95" s="10" t="n">
        <v>0.212</v>
      </c>
      <c r="L95" s="8" t="n">
        <v>99215</v>
      </c>
      <c r="M95" s="9" t="n">
        <f aca="false">L95/I95</f>
        <v>0.339591319824754</v>
      </c>
      <c r="N95" s="8" t="n">
        <v>96593</v>
      </c>
      <c r="O95" s="2" t="n">
        <v>0.62</v>
      </c>
      <c r="P95" s="2" t="n">
        <v>0.35</v>
      </c>
      <c r="Q95" s="10" t="n">
        <f aca="false">L95/H95-1</f>
        <v>0.0351717374066192</v>
      </c>
      <c r="R95" s="10" t="n">
        <f aca="false">ABS(Q95)</f>
        <v>0.0351717374066192</v>
      </c>
      <c r="S95" s="2" t="s">
        <v>43</v>
      </c>
      <c r="T95" s="2" t="n">
        <v>0.47</v>
      </c>
      <c r="U95" s="2" t="n">
        <v>1.035</v>
      </c>
    </row>
    <row r="96" customFormat="false" ht="15" hidden="false" customHeight="false" outlineLevel="0" collapsed="false">
      <c r="A96" s="2" t="s">
        <v>122</v>
      </c>
      <c r="B96" s="2" t="s">
        <v>68</v>
      </c>
      <c r="C96" s="2" t="s">
        <v>39</v>
      </c>
      <c r="D96" s="2" t="s">
        <v>40</v>
      </c>
      <c r="E96" s="2" t="n">
        <v>30</v>
      </c>
      <c r="F96" s="2" t="s">
        <v>126</v>
      </c>
      <c r="G96" s="2" t="s">
        <v>42</v>
      </c>
      <c r="H96" s="8" t="n">
        <v>88962</v>
      </c>
      <c r="I96" s="8" t="n">
        <v>257169</v>
      </c>
      <c r="J96" s="9" t="n">
        <f aca="false">H96/I96</f>
        <v>0.345928163969996</v>
      </c>
      <c r="K96" s="10" t="n">
        <v>0.209</v>
      </c>
      <c r="L96" s="8" t="n">
        <v>86197</v>
      </c>
      <c r="M96" s="9" t="n">
        <f aca="false">L96/I96</f>
        <v>0.335176479280162</v>
      </c>
      <c r="N96" s="8" t="n">
        <v>89255</v>
      </c>
      <c r="O96" s="2" t="n">
        <v>0.62</v>
      </c>
      <c r="P96" s="2" t="n">
        <v>0.35</v>
      </c>
      <c r="Q96" s="10" t="n">
        <f aca="false">L96/H96-1</f>
        <v>-0.0310806861356534</v>
      </c>
      <c r="R96" s="10" t="n">
        <f aca="false">ABS(Q96)</f>
        <v>0.0310806861356534</v>
      </c>
      <c r="S96" s="2" t="s">
        <v>43</v>
      </c>
      <c r="T96" s="2" t="n">
        <v>0.45</v>
      </c>
      <c r="U96" s="2" t="n">
        <v>1.02</v>
      </c>
    </row>
    <row r="97" customFormat="false" ht="15" hidden="false" customHeight="false" outlineLevel="0" collapsed="false">
      <c r="A97" s="2" t="s">
        <v>127</v>
      </c>
      <c r="B97" s="2" t="s">
        <v>61</v>
      </c>
      <c r="C97" s="2" t="s">
        <v>39</v>
      </c>
      <c r="D97" s="2" t="s">
        <v>40</v>
      </c>
      <c r="E97" s="2" t="n">
        <v>28</v>
      </c>
      <c r="F97" s="2" t="s">
        <v>128</v>
      </c>
      <c r="G97" s="2" t="s">
        <v>129</v>
      </c>
      <c r="H97" s="8" t="n">
        <v>46699</v>
      </c>
      <c r="I97" s="8" t="n">
        <v>161445</v>
      </c>
      <c r="J97" s="9" t="n">
        <f aca="false">H97/I97</f>
        <v>0.289256403109418</v>
      </c>
      <c r="K97" s="10" t="n">
        <v>0.155</v>
      </c>
      <c r="L97" s="8" t="n">
        <v>54134</v>
      </c>
      <c r="M97" s="9" t="n">
        <f aca="false">L97/I97</f>
        <v>0.335309238440336</v>
      </c>
      <c r="N97" s="8" t="n">
        <v>55569</v>
      </c>
      <c r="O97" s="2" t="n">
        <v>0.56</v>
      </c>
      <c r="P97" s="2" t="n">
        <v>0.29</v>
      </c>
      <c r="Q97" s="10" t="n">
        <f aca="false">L97/H97-1</f>
        <v>0.159211118011092</v>
      </c>
      <c r="R97" s="10" t="n">
        <f aca="false">ABS(Q97)</f>
        <v>0.159211118011092</v>
      </c>
      <c r="S97" s="2" t="s">
        <v>43</v>
      </c>
      <c r="T97" s="2" t="n">
        <v>0.4</v>
      </c>
      <c r="U97" s="2" t="n">
        <v>0.992</v>
      </c>
    </row>
    <row r="98" customFormat="false" ht="15" hidden="false" customHeight="false" outlineLevel="0" collapsed="false">
      <c r="A98" s="2" t="s">
        <v>127</v>
      </c>
      <c r="B98" s="2" t="s">
        <v>62</v>
      </c>
      <c r="C98" s="2" t="s">
        <v>39</v>
      </c>
      <c r="D98" s="2" t="s">
        <v>40</v>
      </c>
      <c r="E98" s="2" t="n">
        <v>31</v>
      </c>
      <c r="F98" s="2" t="s">
        <v>128</v>
      </c>
      <c r="G98" s="2" t="s">
        <v>129</v>
      </c>
      <c r="H98" s="8" t="n">
        <v>56622</v>
      </c>
      <c r="I98" s="8" t="n">
        <v>200928</v>
      </c>
      <c r="J98" s="9" t="n">
        <f aca="false">H98/I98</f>
        <v>0.281802436693741</v>
      </c>
      <c r="K98" s="10" t="n">
        <v>0.131</v>
      </c>
      <c r="L98" s="8" t="n">
        <v>67554</v>
      </c>
      <c r="M98" s="9" t="n">
        <f aca="false">L98/I98</f>
        <v>0.336209985666507</v>
      </c>
      <c r="N98" s="8" t="n">
        <v>68174</v>
      </c>
      <c r="O98" s="2" t="n">
        <v>0.56</v>
      </c>
      <c r="P98" s="2" t="n">
        <v>0.29</v>
      </c>
      <c r="Q98" s="10" t="n">
        <f aca="false">L98/H98-1</f>
        <v>0.193069831514253</v>
      </c>
      <c r="R98" s="10" t="n">
        <f aca="false">ABS(Q98)</f>
        <v>0.193069831514253</v>
      </c>
      <c r="S98" s="2" t="s">
        <v>43</v>
      </c>
      <c r="T98" s="2" t="n">
        <v>0.39</v>
      </c>
      <c r="U98" s="2" t="n">
        <v>1</v>
      </c>
    </row>
    <row r="99" customFormat="false" ht="15" hidden="false" customHeight="false" outlineLevel="0" collapsed="false">
      <c r="A99" s="2" t="s">
        <v>127</v>
      </c>
      <c r="B99" s="2" t="s">
        <v>63</v>
      </c>
      <c r="C99" s="2" t="s">
        <v>39</v>
      </c>
      <c r="D99" s="2" t="s">
        <v>40</v>
      </c>
      <c r="E99" s="2" t="n">
        <v>30</v>
      </c>
      <c r="F99" s="2" t="s">
        <v>128</v>
      </c>
      <c r="G99" s="2" t="s">
        <v>129</v>
      </c>
      <c r="H99" s="8" t="n">
        <v>64690</v>
      </c>
      <c r="I99" s="8" t="n">
        <v>235197</v>
      </c>
      <c r="J99" s="9" t="n">
        <f aca="false">H99/I99</f>
        <v>0.275046025246921</v>
      </c>
      <c r="K99" s="10" t="n">
        <v>0.119</v>
      </c>
      <c r="L99" s="8" t="n">
        <v>78206</v>
      </c>
      <c r="M99" s="9" t="n">
        <f aca="false">L99/I99</f>
        <v>0.332512744635348</v>
      </c>
      <c r="N99" s="8" t="n">
        <v>78662</v>
      </c>
      <c r="O99" s="2" t="n">
        <v>0.58</v>
      </c>
      <c r="P99" s="2" t="n">
        <v>0.35</v>
      </c>
      <c r="Q99" s="10" t="n">
        <f aca="false">L99/H99-1</f>
        <v>0.20893492038955</v>
      </c>
      <c r="R99" s="10" t="n">
        <f aca="false">ABS(Q99)</f>
        <v>0.20893492038955</v>
      </c>
      <c r="S99" s="2" t="s">
        <v>43</v>
      </c>
      <c r="T99" s="2" t="n">
        <v>0.41</v>
      </c>
      <c r="U99" s="2" t="n">
        <v>1.002</v>
      </c>
    </row>
    <row r="100" customFormat="false" ht="15" hidden="false" customHeight="false" outlineLevel="0" collapsed="false">
      <c r="A100" s="2" t="s">
        <v>127</v>
      </c>
      <c r="B100" s="2" t="s">
        <v>64</v>
      </c>
      <c r="C100" s="2" t="s">
        <v>39</v>
      </c>
      <c r="D100" s="2" t="s">
        <v>40</v>
      </c>
      <c r="E100" s="2" t="n">
        <v>31</v>
      </c>
      <c r="F100" s="2" t="s">
        <v>128</v>
      </c>
      <c r="G100" s="2" t="s">
        <v>129</v>
      </c>
      <c r="H100" s="8" t="n">
        <v>92809</v>
      </c>
      <c r="I100" s="8" t="n">
        <v>336083</v>
      </c>
      <c r="J100" s="9" t="n">
        <f aca="false">H100/I100</f>
        <v>0.276149046515295</v>
      </c>
      <c r="K100" s="10" t="n">
        <v>0.107</v>
      </c>
      <c r="L100" s="8" t="n">
        <v>110058</v>
      </c>
      <c r="M100" s="9" t="n">
        <f aca="false">L100/I100</f>
        <v>0.327472677880167</v>
      </c>
      <c r="N100" s="8" t="n">
        <v>108836</v>
      </c>
      <c r="O100" s="2" t="n">
        <v>0.58</v>
      </c>
      <c r="P100" s="2" t="n">
        <v>0.35</v>
      </c>
      <c r="Q100" s="10" t="n">
        <f aca="false">L100/H100-1</f>
        <v>0.185854820114429</v>
      </c>
      <c r="R100" s="10" t="n">
        <f aca="false">ABS(Q100)</f>
        <v>0.185854820114429</v>
      </c>
      <c r="S100" s="2" t="s">
        <v>43</v>
      </c>
      <c r="T100" s="2" t="n">
        <v>0.44</v>
      </c>
      <c r="U100" s="2" t="n">
        <v>1.065</v>
      </c>
    </row>
    <row r="101" customFormat="false" ht="15" hidden="false" customHeight="false" outlineLevel="0" collapsed="false">
      <c r="A101" s="2" t="s">
        <v>127</v>
      </c>
      <c r="B101" s="2" t="s">
        <v>65</v>
      </c>
      <c r="C101" s="2" t="s">
        <v>39</v>
      </c>
      <c r="D101" s="2" t="s">
        <v>40</v>
      </c>
      <c r="E101" s="2" t="n">
        <v>30</v>
      </c>
      <c r="F101" s="2" t="s">
        <v>128</v>
      </c>
      <c r="G101" s="2" t="s">
        <v>129</v>
      </c>
      <c r="H101" s="8" t="n">
        <v>108059</v>
      </c>
      <c r="I101" s="8" t="n">
        <v>389187</v>
      </c>
      <c r="J101" s="9" t="n">
        <f aca="false">H101/I101</f>
        <v>0.277653159021242</v>
      </c>
      <c r="K101" s="10" t="n">
        <v>0.097</v>
      </c>
      <c r="L101" s="8" t="n">
        <v>127207</v>
      </c>
      <c r="M101" s="9" t="n">
        <f aca="false">L101/I101</f>
        <v>0.326853157993458</v>
      </c>
      <c r="N101" s="8" t="n">
        <v>127787</v>
      </c>
      <c r="O101" s="2" t="n">
        <v>0.58</v>
      </c>
      <c r="P101" s="2" t="n">
        <v>0.35</v>
      </c>
      <c r="Q101" s="10" t="n">
        <f aca="false">L101/H101-1</f>
        <v>0.177199492869636</v>
      </c>
      <c r="R101" s="10" t="n">
        <f aca="false">ABS(Q101)</f>
        <v>0.177199492869636</v>
      </c>
      <c r="S101" s="2" t="s">
        <v>43</v>
      </c>
      <c r="T101" s="2" t="n">
        <v>0.45</v>
      </c>
      <c r="U101" s="2" t="n">
        <v>0.996</v>
      </c>
    </row>
    <row r="102" customFormat="false" ht="15" hidden="false" customHeight="false" outlineLevel="0" collapsed="false">
      <c r="A102" s="2" t="s">
        <v>127</v>
      </c>
      <c r="B102" s="2" t="s">
        <v>66</v>
      </c>
      <c r="C102" s="2" t="s">
        <v>39</v>
      </c>
      <c r="D102" s="2" t="s">
        <v>40</v>
      </c>
      <c r="E102" s="2" t="n">
        <v>31</v>
      </c>
      <c r="F102" s="2" t="s">
        <v>128</v>
      </c>
      <c r="G102" s="2" t="s">
        <v>129</v>
      </c>
      <c r="H102" s="8" t="n">
        <v>121410</v>
      </c>
      <c r="I102" s="8" t="n">
        <v>429394</v>
      </c>
      <c r="J102" s="9" t="n">
        <f aca="false">H102/I102</f>
        <v>0.28274731365599</v>
      </c>
      <c r="K102" s="10" t="n">
        <v>0.091</v>
      </c>
      <c r="L102" s="8" t="n">
        <v>138595</v>
      </c>
      <c r="M102" s="9" t="n">
        <f aca="false">L102/I102</f>
        <v>0.322768832354434</v>
      </c>
      <c r="N102" s="8" t="n">
        <v>140797</v>
      </c>
      <c r="O102" s="2" t="n">
        <v>0.62</v>
      </c>
      <c r="P102" s="2" t="n">
        <v>0.38</v>
      </c>
      <c r="Q102" s="10" t="n">
        <f aca="false">L102/H102-1</f>
        <v>0.141545177497735</v>
      </c>
      <c r="R102" s="10" t="n">
        <f aca="false">ABS(Q102)</f>
        <v>0.141545177497735</v>
      </c>
      <c r="S102" s="2" t="s">
        <v>43</v>
      </c>
      <c r="T102" s="2" t="n">
        <v>0.49</v>
      </c>
      <c r="U102" s="2" t="n">
        <v>0.968</v>
      </c>
    </row>
    <row r="103" customFormat="false" ht="15" hidden="false" customHeight="false" outlineLevel="0" collapsed="false">
      <c r="A103" s="2" t="s">
        <v>127</v>
      </c>
      <c r="B103" s="2" t="s">
        <v>67</v>
      </c>
      <c r="C103" s="2" t="s">
        <v>39</v>
      </c>
      <c r="D103" s="2" t="s">
        <v>40</v>
      </c>
      <c r="E103" s="2" t="n">
        <v>31</v>
      </c>
      <c r="F103" s="2" t="s">
        <v>128</v>
      </c>
      <c r="G103" s="2" t="s">
        <v>129</v>
      </c>
      <c r="H103" s="8" t="n">
        <v>139844</v>
      </c>
      <c r="I103" s="8" t="n">
        <v>506413</v>
      </c>
      <c r="J103" s="9" t="n">
        <f aca="false">H103/I103</f>
        <v>0.276146149486684</v>
      </c>
      <c r="K103" s="10" t="n">
        <v>0.071</v>
      </c>
      <c r="L103" s="8" t="n">
        <v>164243</v>
      </c>
      <c r="M103" s="9" t="n">
        <f aca="false">L103/I103</f>
        <v>0.324326192258098</v>
      </c>
      <c r="N103" s="8" t="n">
        <v>164337</v>
      </c>
      <c r="O103" s="2" t="n">
        <v>0.62</v>
      </c>
      <c r="P103" s="2" t="n">
        <v>0.38</v>
      </c>
      <c r="Q103" s="10" t="n">
        <f aca="false">L103/H103-1</f>
        <v>0.174472984182375</v>
      </c>
      <c r="R103" s="10" t="n">
        <f aca="false">ABS(Q103)</f>
        <v>0.174472984182375</v>
      </c>
      <c r="S103" s="2" t="s">
        <v>43</v>
      </c>
      <c r="T103" s="2" t="n">
        <v>0.47</v>
      </c>
      <c r="U103" s="2" t="n">
        <v>1.041</v>
      </c>
    </row>
    <row r="104" customFormat="false" ht="15" hidden="false" customHeight="false" outlineLevel="0" collapsed="false">
      <c r="A104" s="2" t="s">
        <v>127</v>
      </c>
      <c r="B104" s="2" t="s">
        <v>68</v>
      </c>
      <c r="C104" s="2" t="s">
        <v>39</v>
      </c>
      <c r="D104" s="2" t="s">
        <v>40</v>
      </c>
      <c r="E104" s="2" t="n">
        <v>30</v>
      </c>
      <c r="F104" s="2" t="s">
        <v>130</v>
      </c>
      <c r="G104" s="2" t="s">
        <v>129</v>
      </c>
      <c r="H104" s="8" t="n">
        <v>114498</v>
      </c>
      <c r="I104" s="8" t="n">
        <v>421033</v>
      </c>
      <c r="J104" s="9" t="n">
        <f aca="false">H104/I104</f>
        <v>0.271945429455648</v>
      </c>
      <c r="K104" s="10" t="n">
        <v>0.076</v>
      </c>
      <c r="L104" s="8" t="n">
        <v>136093</v>
      </c>
      <c r="M104" s="9" t="n">
        <f aca="false">L104/I104</f>
        <v>0.323235945875977</v>
      </c>
      <c r="N104" s="8" t="n">
        <v>135927</v>
      </c>
      <c r="O104" s="2" t="n">
        <v>0.62</v>
      </c>
      <c r="P104" s="2" t="n">
        <v>0.38</v>
      </c>
      <c r="Q104" s="10" t="n">
        <f aca="false">L104/H104-1</f>
        <v>0.188605914513791</v>
      </c>
      <c r="R104" s="10" t="n">
        <f aca="false">ABS(Q104)</f>
        <v>0.188605914513791</v>
      </c>
      <c r="S104" s="2" t="s">
        <v>43</v>
      </c>
      <c r="T104" s="2" t="n">
        <v>0.49</v>
      </c>
      <c r="U104" s="2" t="n">
        <v>1.008</v>
      </c>
    </row>
    <row r="105" customFormat="false" ht="15" hidden="false" customHeight="false" outlineLevel="0" collapsed="false">
      <c r="A105" s="2" t="s">
        <v>131</v>
      </c>
      <c r="B105" s="2" t="s">
        <v>61</v>
      </c>
      <c r="C105" s="2" t="s">
        <v>39</v>
      </c>
      <c r="D105" s="2" t="s">
        <v>40</v>
      </c>
      <c r="E105" s="2" t="n">
        <v>26</v>
      </c>
      <c r="F105" s="2" t="s">
        <v>132</v>
      </c>
      <c r="G105" s="2" t="s">
        <v>133</v>
      </c>
      <c r="H105" s="8" t="n">
        <v>4200</v>
      </c>
      <c r="I105" s="8" t="n">
        <v>12520</v>
      </c>
      <c r="J105" s="9" t="n">
        <f aca="false">H105/I105</f>
        <v>0.335463258785943</v>
      </c>
      <c r="K105" s="10" t="n">
        <v>0</v>
      </c>
      <c r="L105" s="8" t="n">
        <v>6122</v>
      </c>
      <c r="M105" s="9" t="n">
        <f aca="false">L105/I105</f>
        <v>0.488977635782748</v>
      </c>
      <c r="N105" s="8" t="n">
        <v>6151</v>
      </c>
      <c r="O105" s="2" t="n">
        <v>0.45</v>
      </c>
      <c r="P105" s="2" t="n">
        <v>0.09</v>
      </c>
      <c r="Q105" s="10" t="n">
        <f aca="false">L105/H105-1</f>
        <v>0.457619047619048</v>
      </c>
      <c r="R105" s="10" t="n">
        <f aca="false">ABS(Q105)</f>
        <v>0.457619047619048</v>
      </c>
      <c r="S105" s="2" t="s">
        <v>43</v>
      </c>
      <c r="T105" s="2" t="n">
        <v>0.25</v>
      </c>
      <c r="U105" s="2" t="n">
        <v>1.073</v>
      </c>
    </row>
    <row r="106" customFormat="false" ht="15" hidden="false" customHeight="false" outlineLevel="0" collapsed="false">
      <c r="A106" s="2" t="s">
        <v>131</v>
      </c>
      <c r="B106" s="2" t="s">
        <v>62</v>
      </c>
      <c r="C106" s="2" t="s">
        <v>39</v>
      </c>
      <c r="D106" s="2" t="s">
        <v>40</v>
      </c>
      <c r="E106" s="2" t="n">
        <v>25</v>
      </c>
      <c r="F106" s="2" t="s">
        <v>132</v>
      </c>
      <c r="G106" s="2" t="s">
        <v>133</v>
      </c>
      <c r="H106" s="8" t="n">
        <v>8206</v>
      </c>
      <c r="I106" s="8" t="n">
        <v>13174</v>
      </c>
      <c r="J106" s="9" t="n">
        <f aca="false">H106/I106</f>
        <v>0.62289357826021</v>
      </c>
      <c r="K106" s="10" t="n">
        <v>0</v>
      </c>
      <c r="L106" s="8" t="n">
        <v>7917</v>
      </c>
      <c r="M106" s="9" t="n">
        <f aca="false">L106/I106</f>
        <v>0.600956429330499</v>
      </c>
      <c r="N106" s="8" t="n">
        <v>8046</v>
      </c>
      <c r="O106" s="2" t="n">
        <v>0.45</v>
      </c>
      <c r="P106" s="2" t="n">
        <v>0.09</v>
      </c>
      <c r="Q106" s="10" t="n">
        <f aca="false">L106/H106-1</f>
        <v>-0.035218133073361</v>
      </c>
      <c r="R106" s="10" t="n">
        <f aca="false">ABS(Q106)</f>
        <v>0.035218133073361</v>
      </c>
      <c r="S106" s="2" t="s">
        <v>43</v>
      </c>
      <c r="T106" s="2" t="n">
        <v>0.16</v>
      </c>
      <c r="U106" s="2" t="n">
        <v>0.964</v>
      </c>
    </row>
    <row r="107" customFormat="false" ht="15" hidden="false" customHeight="false" outlineLevel="0" collapsed="false">
      <c r="A107" s="2" t="s">
        <v>131</v>
      </c>
      <c r="B107" s="2" t="s">
        <v>64</v>
      </c>
      <c r="C107" s="2" t="s">
        <v>39</v>
      </c>
      <c r="D107" s="2" t="s">
        <v>40</v>
      </c>
      <c r="E107" s="2" t="n">
        <v>30</v>
      </c>
      <c r="F107" s="2" t="s">
        <v>132</v>
      </c>
      <c r="G107" s="2" t="s">
        <v>133</v>
      </c>
      <c r="H107" s="8" t="n">
        <v>16061</v>
      </c>
      <c r="I107" s="8" t="n">
        <v>26993</v>
      </c>
      <c r="J107" s="9" t="n">
        <f aca="false">H107/I107</f>
        <v>0.595006112695884</v>
      </c>
      <c r="K107" s="10" t="n">
        <v>0.208</v>
      </c>
      <c r="L107" s="8" t="n">
        <v>13395</v>
      </c>
      <c r="M107" s="9" t="n">
        <f aca="false">L107/I107</f>
        <v>0.496239765865224</v>
      </c>
      <c r="N107" s="8" t="n">
        <v>13434</v>
      </c>
      <c r="O107" s="2" t="n">
        <v>0.45</v>
      </c>
      <c r="P107" s="2" t="n">
        <v>0.2</v>
      </c>
      <c r="Q107" s="10" t="n">
        <f aca="false">L107/H107-1</f>
        <v>-0.165992154909408</v>
      </c>
      <c r="R107" s="10" t="n">
        <f aca="false">ABS(Q107)</f>
        <v>0.165992154909408</v>
      </c>
      <c r="S107" s="2" t="s">
        <v>43</v>
      </c>
      <c r="T107" s="2" t="n">
        <v>0.24</v>
      </c>
      <c r="U107" s="2" t="n">
        <v>0.983</v>
      </c>
    </row>
    <row r="108" customFormat="false" ht="15" hidden="false" customHeight="false" outlineLevel="0" collapsed="false">
      <c r="A108" s="2" t="s">
        <v>131</v>
      </c>
      <c r="B108" s="2" t="s">
        <v>65</v>
      </c>
      <c r="C108" s="2" t="s">
        <v>39</v>
      </c>
      <c r="D108" s="2" t="s">
        <v>40</v>
      </c>
      <c r="E108" s="2" t="n">
        <v>30</v>
      </c>
      <c r="F108" s="2" t="s">
        <v>132</v>
      </c>
      <c r="G108" s="2" t="s">
        <v>133</v>
      </c>
      <c r="H108" s="8" t="n">
        <v>21144</v>
      </c>
      <c r="I108" s="8" t="n">
        <v>51438</v>
      </c>
      <c r="J108" s="9" t="n">
        <f aca="false">H108/I108</f>
        <v>0.411057972705004</v>
      </c>
      <c r="K108" s="10" t="n">
        <v>0.246</v>
      </c>
      <c r="L108" s="8" t="n">
        <v>24389</v>
      </c>
      <c r="M108" s="9" t="n">
        <f aca="false">L108/I108</f>
        <v>0.474143629223531</v>
      </c>
      <c r="N108" s="8" t="n">
        <v>21193</v>
      </c>
      <c r="O108" s="2" t="n">
        <v>0.45</v>
      </c>
      <c r="P108" s="2" t="n">
        <v>0.2</v>
      </c>
      <c r="Q108" s="10" t="n">
        <f aca="false">L108/H108-1</f>
        <v>0.153471433976542</v>
      </c>
      <c r="R108" s="10" t="n">
        <f aca="false">ABS(Q108)</f>
        <v>0.153471433976542</v>
      </c>
      <c r="S108" s="2" t="s">
        <v>43</v>
      </c>
      <c r="T108" s="2" t="n">
        <v>0.22</v>
      </c>
      <c r="U108" s="2" t="n">
        <v>0.982</v>
      </c>
    </row>
    <row r="109" customFormat="false" ht="15" hidden="false" customHeight="false" outlineLevel="0" collapsed="false">
      <c r="A109" s="2" t="s">
        <v>131</v>
      </c>
      <c r="B109" s="2" t="s">
        <v>66</v>
      </c>
      <c r="C109" s="2" t="s">
        <v>39</v>
      </c>
      <c r="D109" s="2" t="s">
        <v>40</v>
      </c>
      <c r="E109" s="2" t="n">
        <v>31</v>
      </c>
      <c r="F109" s="2" t="s">
        <v>134</v>
      </c>
      <c r="G109" s="2" t="s">
        <v>135</v>
      </c>
      <c r="H109" s="8" t="n">
        <v>26830</v>
      </c>
      <c r="I109" s="8" t="n">
        <v>63550</v>
      </c>
      <c r="J109" s="9" t="n">
        <f aca="false">H109/I109</f>
        <v>0.422187254130606</v>
      </c>
      <c r="K109" s="10" t="n">
        <v>0.239</v>
      </c>
      <c r="L109" s="8" t="n">
        <v>30928</v>
      </c>
      <c r="M109" s="9" t="n">
        <f aca="false">L109/I109</f>
        <v>0.486671911880409</v>
      </c>
      <c r="N109" s="8" t="n">
        <v>29158</v>
      </c>
      <c r="O109" s="2" t="n">
        <v>0.49</v>
      </c>
      <c r="P109" s="2" t="n">
        <v>0.26</v>
      </c>
      <c r="Q109" s="10" t="n">
        <f aca="false">L109/H109-1</f>
        <v>0.152739470741707</v>
      </c>
      <c r="R109" s="10" t="n">
        <f aca="false">ABS(Q109)</f>
        <v>0.152739470741707</v>
      </c>
      <c r="S109" s="2" t="s">
        <v>43</v>
      </c>
      <c r="T109" s="2" t="n">
        <v>0.31</v>
      </c>
      <c r="U109" s="2" t="n">
        <v>0.961</v>
      </c>
    </row>
    <row r="110" customFormat="false" ht="15" hidden="false" customHeight="false" outlineLevel="0" collapsed="false">
      <c r="A110" s="2" t="s">
        <v>131</v>
      </c>
      <c r="B110" s="2" t="s">
        <v>67</v>
      </c>
      <c r="C110" s="2" t="s">
        <v>39</v>
      </c>
      <c r="D110" s="2" t="s">
        <v>40</v>
      </c>
      <c r="E110" s="2" t="n">
        <v>31</v>
      </c>
      <c r="F110" s="2" t="s">
        <v>136</v>
      </c>
      <c r="G110" s="2" t="s">
        <v>137</v>
      </c>
      <c r="H110" s="8" t="n">
        <v>33300</v>
      </c>
      <c r="I110" s="8" t="n">
        <v>77595</v>
      </c>
      <c r="J110" s="9" t="n">
        <f aca="false">H110/I110</f>
        <v>0.429151362845544</v>
      </c>
      <c r="K110" s="10" t="n">
        <v>0.201</v>
      </c>
      <c r="L110" s="8" t="n">
        <v>36264</v>
      </c>
      <c r="M110" s="9" t="n">
        <f aca="false">L110/I110</f>
        <v>0.467349700367292</v>
      </c>
      <c r="N110" s="8" t="n">
        <v>35610</v>
      </c>
      <c r="O110" s="2" t="n">
        <v>0.49</v>
      </c>
      <c r="P110" s="2" t="n">
        <v>0.26</v>
      </c>
      <c r="Q110" s="10" t="n">
        <f aca="false">L110/H110-1</f>
        <v>0.089009009009009</v>
      </c>
      <c r="R110" s="10" t="n">
        <f aca="false">ABS(Q110)</f>
        <v>0.089009009009009</v>
      </c>
      <c r="S110" s="2" t="s">
        <v>43</v>
      </c>
      <c r="T110" s="2" t="n">
        <v>0.32</v>
      </c>
      <c r="U110" s="2" t="n">
        <v>1.074</v>
      </c>
    </row>
    <row r="111" customFormat="false" ht="15" hidden="false" customHeight="false" outlineLevel="0" collapsed="false">
      <c r="A111" s="2" t="s">
        <v>131</v>
      </c>
      <c r="B111" s="2" t="s">
        <v>68</v>
      </c>
      <c r="C111" s="2" t="s">
        <v>39</v>
      </c>
      <c r="D111" s="2" t="s">
        <v>40</v>
      </c>
      <c r="E111" s="2" t="n">
        <v>30</v>
      </c>
      <c r="F111" s="2" t="s">
        <v>138</v>
      </c>
      <c r="G111" s="2" t="s">
        <v>137</v>
      </c>
      <c r="H111" s="8" t="n">
        <v>30003</v>
      </c>
      <c r="I111" s="8" t="n">
        <v>63289</v>
      </c>
      <c r="J111" s="9" t="n">
        <f aca="false">H111/I111</f>
        <v>0.474063423343709</v>
      </c>
      <c r="K111" s="10" t="n">
        <v>0.193</v>
      </c>
      <c r="L111" s="8" t="n">
        <v>30004</v>
      </c>
      <c r="M111" s="9" t="n">
        <f aca="false">L111/I111</f>
        <v>0.474079223877767</v>
      </c>
      <c r="N111" s="8" t="n">
        <v>29244</v>
      </c>
      <c r="O111" s="2" t="n">
        <v>0.49</v>
      </c>
      <c r="P111" s="2" t="n">
        <v>0.26</v>
      </c>
      <c r="Q111" s="10" t="n">
        <f aca="false">L111/H111-1</f>
        <v>3.33300003332315E-005</v>
      </c>
      <c r="R111" s="10" t="n">
        <f aca="false">ABS(Q111)</f>
        <v>3.33300003332315E-005</v>
      </c>
      <c r="S111" s="2" t="s">
        <v>43</v>
      </c>
      <c r="T111" s="2" t="n">
        <v>0.31</v>
      </c>
      <c r="U111" s="2" t="n">
        <v>1.057</v>
      </c>
    </row>
    <row r="112" customFormat="false" ht="15" hidden="false" customHeight="false" outlineLevel="0" collapsed="false">
      <c r="A112" s="2" t="s">
        <v>139</v>
      </c>
      <c r="B112" s="2" t="s">
        <v>38</v>
      </c>
      <c r="C112" s="2" t="s">
        <v>39</v>
      </c>
      <c r="D112" s="2" t="s">
        <v>140</v>
      </c>
      <c r="E112" s="2" t="n">
        <v>27</v>
      </c>
      <c r="F112" s="2" t="s">
        <v>141</v>
      </c>
      <c r="G112" s="2" t="s">
        <v>142</v>
      </c>
      <c r="H112" s="8" t="n">
        <v>14582</v>
      </c>
      <c r="I112" s="8" t="n">
        <v>36564</v>
      </c>
      <c r="J112" s="9" t="n">
        <f aca="false">H112/I112</f>
        <v>0.398807570287715</v>
      </c>
      <c r="K112" s="10" t="n">
        <v>0.127</v>
      </c>
      <c r="L112" s="8" t="n">
        <v>15115</v>
      </c>
      <c r="M112" s="9" t="n">
        <f aca="false">L112/I112</f>
        <v>0.413384750027349</v>
      </c>
      <c r="N112" s="8" t="n">
        <v>15128</v>
      </c>
      <c r="O112" s="2" t="n">
        <v>0.49</v>
      </c>
      <c r="P112" s="2" t="n">
        <v>0.25</v>
      </c>
      <c r="Q112" s="10" t="n">
        <f aca="false">L112/H112-1</f>
        <v>0.036551913317789</v>
      </c>
      <c r="R112" s="10" t="n">
        <f aca="false">ABS(Q112)</f>
        <v>0.036551913317789</v>
      </c>
      <c r="S112" s="2" t="s">
        <v>43</v>
      </c>
      <c r="T112" s="2" t="n">
        <v>0.34</v>
      </c>
      <c r="U112" s="2" t="n">
        <v>1.25</v>
      </c>
    </row>
    <row r="113" customFormat="false" ht="15" hidden="false" customHeight="false" outlineLevel="0" collapsed="false">
      <c r="A113" s="2" t="s">
        <v>139</v>
      </c>
      <c r="B113" s="2" t="s">
        <v>44</v>
      </c>
      <c r="C113" s="2" t="s">
        <v>39</v>
      </c>
      <c r="D113" s="2" t="s">
        <v>140</v>
      </c>
      <c r="E113" s="2" t="n">
        <v>25</v>
      </c>
      <c r="F113" s="2" t="s">
        <v>143</v>
      </c>
      <c r="G113" s="2" t="s">
        <v>142</v>
      </c>
      <c r="H113" s="8" t="n">
        <v>11650</v>
      </c>
      <c r="I113" s="8" t="n">
        <v>27904</v>
      </c>
      <c r="J113" s="9" t="n">
        <f aca="false">H113/I113</f>
        <v>0.417502866972477</v>
      </c>
      <c r="K113" s="10" t="n">
        <v>0.255</v>
      </c>
      <c r="L113" s="8" t="n">
        <v>11664</v>
      </c>
      <c r="M113" s="9" t="n">
        <f aca="false">L113/I113</f>
        <v>0.418004587155963</v>
      </c>
      <c r="N113" s="8" t="n">
        <v>11830</v>
      </c>
      <c r="O113" s="2" t="n">
        <v>0.49</v>
      </c>
      <c r="P113" s="2" t="n">
        <v>0.25</v>
      </c>
      <c r="Q113" s="10" t="n">
        <f aca="false">L113/H113-1</f>
        <v>0.00120171673819747</v>
      </c>
      <c r="R113" s="10" t="n">
        <f aca="false">ABS(Q113)</f>
        <v>0.00120171673819747</v>
      </c>
      <c r="S113" s="2" t="s">
        <v>43</v>
      </c>
      <c r="T113" s="2" t="n">
        <v>0.33</v>
      </c>
      <c r="U113" s="2" t="n">
        <v>1.191</v>
      </c>
    </row>
    <row r="114" customFormat="false" ht="15" hidden="false" customHeight="false" outlineLevel="0" collapsed="false">
      <c r="A114" s="2" t="s">
        <v>139</v>
      </c>
      <c r="B114" s="2" t="s">
        <v>46</v>
      </c>
      <c r="C114" s="2" t="s">
        <v>39</v>
      </c>
      <c r="D114" s="2" t="s">
        <v>140</v>
      </c>
      <c r="E114" s="2" t="n">
        <v>31</v>
      </c>
      <c r="F114" s="2" t="s">
        <v>144</v>
      </c>
      <c r="G114" s="2" t="s">
        <v>142</v>
      </c>
      <c r="H114" s="8" t="n">
        <v>14247</v>
      </c>
      <c r="I114" s="8" t="n">
        <v>29877</v>
      </c>
      <c r="J114" s="9" t="n">
        <f aca="false">H114/I114</f>
        <v>0.476855105934331</v>
      </c>
      <c r="K114" s="10" t="n">
        <v>0.286</v>
      </c>
      <c r="L114" s="8" t="n">
        <v>12448</v>
      </c>
      <c r="M114" s="9" t="n">
        <f aca="false">L114/I114</f>
        <v>0.416641563744687</v>
      </c>
      <c r="N114" s="8" t="n">
        <v>14911</v>
      </c>
      <c r="O114" s="2" t="n">
        <v>0.49</v>
      </c>
      <c r="P114" s="2" t="n">
        <v>0.25</v>
      </c>
      <c r="Q114" s="10" t="n">
        <f aca="false">L114/H114-1</f>
        <v>-0.126272197655647</v>
      </c>
      <c r="R114" s="10" t="n">
        <f aca="false">ABS(Q114)</f>
        <v>0.126272197655647</v>
      </c>
      <c r="S114" s="2" t="s">
        <v>43</v>
      </c>
      <c r="T114" s="2" t="n">
        <v>0.34</v>
      </c>
      <c r="U114" s="2" t="n">
        <v>0.962</v>
      </c>
    </row>
    <row r="115" customFormat="false" ht="15" hidden="false" customHeight="false" outlineLevel="0" collapsed="false">
      <c r="A115" s="2" t="s">
        <v>139</v>
      </c>
      <c r="B115" s="2" t="s">
        <v>48</v>
      </c>
      <c r="C115" s="2" t="s">
        <v>39</v>
      </c>
      <c r="D115" s="2" t="s">
        <v>140</v>
      </c>
      <c r="E115" s="2" t="n">
        <v>30</v>
      </c>
      <c r="F115" s="2" t="s">
        <v>145</v>
      </c>
      <c r="G115" s="2" t="s">
        <v>142</v>
      </c>
      <c r="H115" s="8" t="n">
        <v>17250</v>
      </c>
      <c r="I115" s="8" t="n">
        <v>39879</v>
      </c>
      <c r="J115" s="9" t="n">
        <f aca="false">H115/I115</f>
        <v>0.432558489430527</v>
      </c>
      <c r="K115" s="10" t="n">
        <v>0.324</v>
      </c>
      <c r="L115" s="8" t="n">
        <v>16700</v>
      </c>
      <c r="M115" s="9" t="n">
        <f aca="false">L115/I115</f>
        <v>0.41876676947767</v>
      </c>
      <c r="N115" s="8" t="n">
        <v>17752</v>
      </c>
      <c r="O115" s="2" t="n">
        <v>0.45</v>
      </c>
      <c r="P115" s="2" t="n">
        <v>0.19</v>
      </c>
      <c r="Q115" s="10" t="n">
        <f aca="false">L115/H115-1</f>
        <v>-0.0318840579710145</v>
      </c>
      <c r="R115" s="10" t="n">
        <f aca="false">ABS(Q115)</f>
        <v>0.0318840579710145</v>
      </c>
      <c r="S115" s="2" t="s">
        <v>146</v>
      </c>
      <c r="T115" s="2" t="n">
        <v>0.33</v>
      </c>
      <c r="U115" s="2" t="n">
        <v>1.142</v>
      </c>
    </row>
    <row r="116" customFormat="false" ht="15" hidden="false" customHeight="false" outlineLevel="0" collapsed="false">
      <c r="A116" s="2" t="s">
        <v>139</v>
      </c>
      <c r="B116" s="2" t="s">
        <v>50</v>
      </c>
      <c r="C116" s="2" t="s">
        <v>39</v>
      </c>
      <c r="D116" s="2" t="s">
        <v>140</v>
      </c>
      <c r="E116" s="2" t="n">
        <v>30</v>
      </c>
      <c r="F116" s="2" t="s">
        <v>143</v>
      </c>
      <c r="G116" s="2" t="s">
        <v>142</v>
      </c>
      <c r="H116" s="8" t="n">
        <v>17300</v>
      </c>
      <c r="I116" s="8" t="n">
        <v>38783</v>
      </c>
      <c r="J116" s="9" t="n">
        <f aca="false">H116/I116</f>
        <v>0.446071732460099</v>
      </c>
      <c r="K116" s="10" t="n">
        <v>0.366</v>
      </c>
      <c r="L116" s="8" t="n">
        <v>16347</v>
      </c>
      <c r="M116" s="9" t="n">
        <f aca="false">L116/I116</f>
        <v>0.421499110434984</v>
      </c>
      <c r="N116" s="8" t="n">
        <v>16860</v>
      </c>
      <c r="O116" s="2" t="n">
        <v>0.45</v>
      </c>
      <c r="P116" s="2" t="n">
        <v>0.19</v>
      </c>
      <c r="Q116" s="10" t="n">
        <f aca="false">L116/H116-1</f>
        <v>-0.0550867052023122</v>
      </c>
      <c r="R116" s="10" t="n">
        <f aca="false">ABS(Q116)</f>
        <v>0.0550867052023122</v>
      </c>
      <c r="S116" s="2" t="s">
        <v>146</v>
      </c>
      <c r="T116" s="2" t="n">
        <v>0.32</v>
      </c>
      <c r="U116" s="2" t="n">
        <v>1.046</v>
      </c>
    </row>
    <row r="117" customFormat="false" ht="15" hidden="false" customHeight="false" outlineLevel="0" collapsed="false">
      <c r="A117" s="2" t="s">
        <v>139</v>
      </c>
      <c r="B117" s="2" t="s">
        <v>52</v>
      </c>
      <c r="C117" s="2" t="s">
        <v>39</v>
      </c>
      <c r="D117" s="2" t="s">
        <v>140</v>
      </c>
      <c r="E117" s="2" t="n">
        <v>23</v>
      </c>
      <c r="F117" s="2" t="s">
        <v>143</v>
      </c>
      <c r="G117" s="2" t="s">
        <v>142</v>
      </c>
      <c r="H117" s="8" t="n">
        <v>21168</v>
      </c>
      <c r="I117" s="8" t="n">
        <v>49246</v>
      </c>
      <c r="J117" s="9" t="n">
        <f aca="false">H117/I117</f>
        <v>0.429842017625797</v>
      </c>
      <c r="K117" s="10" t="n">
        <v>0.34</v>
      </c>
      <c r="L117" s="8" t="n">
        <v>22193</v>
      </c>
      <c r="M117" s="9" t="n">
        <f aca="false">L117/I117</f>
        <v>0.450655890833773</v>
      </c>
      <c r="N117" s="8" t="n">
        <v>20410</v>
      </c>
      <c r="O117" s="2" t="n">
        <v>0.45</v>
      </c>
      <c r="P117" s="2" t="n">
        <v>0.19</v>
      </c>
      <c r="Q117" s="10" t="n">
        <f aca="false">L117/H117-1</f>
        <v>0.0484221466364323</v>
      </c>
      <c r="R117" s="10" t="n">
        <f aca="false">ABS(Q117)</f>
        <v>0.0484221466364323</v>
      </c>
      <c r="S117" s="2" t="s">
        <v>146</v>
      </c>
      <c r="T117" s="2" t="n">
        <v>0.29</v>
      </c>
      <c r="U117" s="2" t="n">
        <v>1</v>
      </c>
    </row>
    <row r="118" customFormat="false" ht="15" hidden="false" customHeight="false" outlineLevel="0" collapsed="false">
      <c r="A118" s="2" t="s">
        <v>139</v>
      </c>
      <c r="B118" s="2" t="s">
        <v>53</v>
      </c>
      <c r="C118" s="2" t="s">
        <v>39</v>
      </c>
      <c r="D118" s="2" t="s">
        <v>140</v>
      </c>
      <c r="E118" s="2" t="n">
        <v>31</v>
      </c>
      <c r="F118" s="2" t="s">
        <v>143</v>
      </c>
      <c r="G118" s="2" t="s">
        <v>142</v>
      </c>
      <c r="H118" s="8" t="n">
        <v>20432</v>
      </c>
      <c r="I118" s="8" t="n">
        <v>57190</v>
      </c>
      <c r="J118" s="9" t="n">
        <f aca="false">H118/I118</f>
        <v>0.357265256163665</v>
      </c>
      <c r="K118" s="10" t="n">
        <v>0.29</v>
      </c>
      <c r="L118" s="8" t="n">
        <v>25748</v>
      </c>
      <c r="M118" s="9" t="n">
        <f aca="false">L118/I118</f>
        <v>0.450218569680014</v>
      </c>
      <c r="N118" s="8" t="n">
        <v>23139</v>
      </c>
      <c r="O118" s="2" t="n">
        <v>0.45</v>
      </c>
      <c r="P118" s="2" t="n">
        <v>0.19</v>
      </c>
      <c r="Q118" s="10" t="n">
        <f aca="false">L118/H118-1</f>
        <v>0.26018010963195</v>
      </c>
      <c r="R118" s="10" t="n">
        <f aca="false">ABS(Q118)</f>
        <v>0.26018010963195</v>
      </c>
      <c r="S118" s="2" t="s">
        <v>146</v>
      </c>
      <c r="T118" s="2" t="n">
        <v>0.28</v>
      </c>
      <c r="U118" s="2" t="n">
        <v>1.051</v>
      </c>
    </row>
    <row r="119" customFormat="false" ht="15" hidden="false" customHeight="false" outlineLevel="0" collapsed="false">
      <c r="A119" s="2" t="s">
        <v>139</v>
      </c>
      <c r="B119" s="2" t="s">
        <v>57</v>
      </c>
      <c r="C119" s="2" t="s">
        <v>39</v>
      </c>
      <c r="D119" s="2" t="s">
        <v>140</v>
      </c>
      <c r="E119" s="2" t="n">
        <v>31</v>
      </c>
      <c r="F119" s="2" t="s">
        <v>143</v>
      </c>
      <c r="G119" s="2" t="s">
        <v>142</v>
      </c>
      <c r="H119" s="8" t="n">
        <v>20400</v>
      </c>
      <c r="I119" s="8" t="n">
        <v>40844</v>
      </c>
      <c r="J119" s="9" t="n">
        <f aca="false">H119/I119</f>
        <v>0.499461365194398</v>
      </c>
      <c r="K119" s="10" t="n">
        <v>0.301</v>
      </c>
      <c r="L119" s="8" t="n">
        <v>18072</v>
      </c>
      <c r="M119" s="9" t="n">
        <f aca="false">L119/I119</f>
        <v>0.442464009401626</v>
      </c>
      <c r="N119" s="8" t="n">
        <v>18360</v>
      </c>
      <c r="O119" s="2" t="n">
        <v>0.45</v>
      </c>
      <c r="P119" s="2" t="n">
        <v>0.13</v>
      </c>
      <c r="Q119" s="10" t="n">
        <f aca="false">L119/H119-1</f>
        <v>-0.114117647058824</v>
      </c>
      <c r="R119" s="10" t="n">
        <f aca="false">ABS(Q119)</f>
        <v>0.114117647058824</v>
      </c>
      <c r="S119" s="2" t="s">
        <v>43</v>
      </c>
      <c r="T119" s="2" t="n">
        <v>0.27</v>
      </c>
      <c r="U119" s="2" t="n">
        <v>0.991</v>
      </c>
    </row>
    <row r="120" customFormat="false" ht="15" hidden="false" customHeight="false" outlineLevel="0" collapsed="false">
      <c r="A120" s="2" t="s">
        <v>139</v>
      </c>
      <c r="B120" s="2" t="s">
        <v>58</v>
      </c>
      <c r="C120" s="2" t="s">
        <v>39</v>
      </c>
      <c r="D120" s="2" t="s">
        <v>140</v>
      </c>
      <c r="E120" s="2" t="n">
        <v>30</v>
      </c>
      <c r="F120" s="2" t="s">
        <v>145</v>
      </c>
      <c r="G120" s="2" t="s">
        <v>142</v>
      </c>
      <c r="H120" s="8" t="n">
        <v>20620</v>
      </c>
      <c r="I120" s="8" t="n">
        <v>38560</v>
      </c>
      <c r="J120" s="9" t="n">
        <f aca="false">H120/I120</f>
        <v>0.534751037344398</v>
      </c>
      <c r="K120" s="10" t="n">
        <v>0.247</v>
      </c>
      <c r="L120" s="8" t="n">
        <v>16841</v>
      </c>
      <c r="M120" s="9" t="n">
        <f aca="false">L120/I120</f>
        <v>0.436747925311203</v>
      </c>
      <c r="N120" s="8" t="n">
        <v>19288</v>
      </c>
      <c r="O120" s="2" t="n">
        <v>0.45</v>
      </c>
      <c r="P120" s="2" t="n">
        <v>0.13</v>
      </c>
      <c r="Q120" s="10" t="n">
        <f aca="false">L120/H120-1</f>
        <v>-0.183268671193016</v>
      </c>
      <c r="R120" s="10" t="n">
        <f aca="false">ABS(Q120)</f>
        <v>0.183268671193016</v>
      </c>
      <c r="S120" s="2" t="s">
        <v>43</v>
      </c>
      <c r="T120" s="2" t="n">
        <v>0.27</v>
      </c>
      <c r="U120" s="2" t="n">
        <v>1.081</v>
      </c>
    </row>
    <row r="121" customFormat="false" ht="15" hidden="false" customHeight="false" outlineLevel="0" collapsed="false">
      <c r="A121" s="2" t="s">
        <v>139</v>
      </c>
      <c r="B121" s="2" t="s">
        <v>59</v>
      </c>
      <c r="C121" s="2" t="s">
        <v>39</v>
      </c>
      <c r="D121" s="2" t="s">
        <v>140</v>
      </c>
      <c r="E121" s="2" t="n">
        <v>31</v>
      </c>
      <c r="F121" s="2" t="s">
        <v>147</v>
      </c>
      <c r="G121" s="2" t="s">
        <v>142</v>
      </c>
      <c r="H121" s="8" t="n">
        <v>19130</v>
      </c>
      <c r="I121" s="8" t="n">
        <v>33370</v>
      </c>
      <c r="J121" s="9" t="n">
        <f aca="false">H121/I121</f>
        <v>0.573269403655978</v>
      </c>
      <c r="K121" s="10" t="n">
        <v>0.242</v>
      </c>
      <c r="L121" s="8" t="n">
        <v>15285</v>
      </c>
      <c r="M121" s="9" t="n">
        <f aca="false">L121/I121</f>
        <v>0.458046149235841</v>
      </c>
      <c r="N121" s="8" t="n">
        <v>18306</v>
      </c>
      <c r="O121" s="2" t="n">
        <v>0.45</v>
      </c>
      <c r="P121" s="2" t="n">
        <v>0.13</v>
      </c>
      <c r="Q121" s="10" t="n">
        <f aca="false">L121/H121-1</f>
        <v>-0.200993204391009</v>
      </c>
      <c r="R121" s="10" t="n">
        <f aca="false">ABS(Q121)</f>
        <v>0.200993204391009</v>
      </c>
      <c r="S121" s="2" t="s">
        <v>43</v>
      </c>
      <c r="T121" s="2" t="n">
        <v>0.23</v>
      </c>
      <c r="U121" s="2" t="n">
        <v>0.999</v>
      </c>
    </row>
    <row r="122" customFormat="false" ht="15" hidden="false" customHeight="false" outlineLevel="0" collapsed="false">
      <c r="A122" s="2" t="s">
        <v>139</v>
      </c>
      <c r="B122" s="2" t="s">
        <v>60</v>
      </c>
      <c r="C122" s="2" t="s">
        <v>39</v>
      </c>
      <c r="D122" s="2" t="s">
        <v>140</v>
      </c>
      <c r="E122" s="2" t="n">
        <v>31</v>
      </c>
      <c r="F122" s="2" t="s">
        <v>148</v>
      </c>
      <c r="G122" s="2" t="s">
        <v>149</v>
      </c>
      <c r="H122" s="8" t="n">
        <v>25550</v>
      </c>
      <c r="I122" s="8" t="n">
        <v>35058</v>
      </c>
      <c r="J122" s="9" t="n">
        <f aca="false">H122/I122</f>
        <v>0.728792287067146</v>
      </c>
      <c r="K122" s="10" t="n">
        <v>0.246</v>
      </c>
      <c r="L122" s="8" t="n">
        <v>16652</v>
      </c>
      <c r="M122" s="9" t="n">
        <f aca="false">L122/I122</f>
        <v>0.47498431171202</v>
      </c>
      <c r="N122" s="8" t="n">
        <v>22322</v>
      </c>
      <c r="O122" s="2" t="n">
        <v>0.45</v>
      </c>
      <c r="P122" s="2" t="n">
        <v>0.19</v>
      </c>
      <c r="Q122" s="10" t="n">
        <f aca="false">L122/H122-1</f>
        <v>-0.34825831702544</v>
      </c>
      <c r="R122" s="10" t="n">
        <f aca="false">ABS(Q122)</f>
        <v>0.34825831702544</v>
      </c>
      <c r="S122" s="2" t="s">
        <v>43</v>
      </c>
      <c r="T122" s="2" t="n">
        <v>0.27</v>
      </c>
      <c r="U122" s="2" t="n">
        <v>1.034</v>
      </c>
    </row>
    <row r="123" customFormat="false" ht="15" hidden="false" customHeight="false" outlineLevel="0" collapsed="false">
      <c r="A123" s="2" t="s">
        <v>139</v>
      </c>
      <c r="B123" s="2" t="s">
        <v>61</v>
      </c>
      <c r="C123" s="2" t="s">
        <v>39</v>
      </c>
      <c r="D123" s="2" t="s">
        <v>140</v>
      </c>
      <c r="E123" s="2" t="n">
        <v>28</v>
      </c>
      <c r="F123" s="2" t="s">
        <v>148</v>
      </c>
      <c r="G123" s="2" t="s">
        <v>149</v>
      </c>
      <c r="H123" s="8" t="n">
        <v>16678</v>
      </c>
      <c r="I123" s="8" t="n">
        <v>30014</v>
      </c>
      <c r="J123" s="9" t="n">
        <f aca="false">H123/I123</f>
        <v>0.555674018791231</v>
      </c>
      <c r="K123" s="10" t="n">
        <v>0.271</v>
      </c>
      <c r="L123" s="8" t="n">
        <v>14551</v>
      </c>
      <c r="M123" s="9" t="n">
        <f aca="false">L123/I123</f>
        <v>0.484807090024655</v>
      </c>
      <c r="N123" s="8" t="n">
        <v>15528</v>
      </c>
      <c r="O123" s="2" t="n">
        <v>0.45</v>
      </c>
      <c r="P123" s="2" t="n">
        <v>0.19</v>
      </c>
      <c r="Q123" s="10" t="n">
        <f aca="false">L123/H123-1</f>
        <v>-0.127533277371387</v>
      </c>
      <c r="R123" s="10" t="n">
        <f aca="false">ABS(Q123)</f>
        <v>0.127533277371387</v>
      </c>
      <c r="S123" s="2" t="s">
        <v>43</v>
      </c>
      <c r="T123" s="2" t="n">
        <v>0.25</v>
      </c>
      <c r="U123" s="2" t="n">
        <v>0.976</v>
      </c>
    </row>
    <row r="124" customFormat="false" ht="15" hidden="false" customHeight="false" outlineLevel="0" collapsed="false">
      <c r="A124" s="2" t="s">
        <v>139</v>
      </c>
      <c r="B124" s="2" t="s">
        <v>62</v>
      </c>
      <c r="C124" s="2" t="s">
        <v>39</v>
      </c>
      <c r="D124" s="2" t="s">
        <v>140</v>
      </c>
      <c r="E124" s="2" t="n">
        <v>31</v>
      </c>
      <c r="F124" s="2" t="s">
        <v>148</v>
      </c>
      <c r="G124" s="2" t="s">
        <v>149</v>
      </c>
      <c r="H124" s="8" t="n">
        <v>15126</v>
      </c>
      <c r="I124" s="8" t="n">
        <v>30922</v>
      </c>
      <c r="J124" s="9" t="n">
        <f aca="false">H124/I124</f>
        <v>0.489166289373262</v>
      </c>
      <c r="K124" s="10" t="n">
        <v>0.221</v>
      </c>
      <c r="L124" s="8" t="n">
        <v>15336</v>
      </c>
      <c r="M124" s="9" t="n">
        <f aca="false">L124/I124</f>
        <v>0.495957570661665</v>
      </c>
      <c r="N124" s="8" t="n">
        <v>15384</v>
      </c>
      <c r="O124" s="2" t="n">
        <v>0.45</v>
      </c>
      <c r="P124" s="2" t="n">
        <v>0.19</v>
      </c>
      <c r="Q124" s="10" t="n">
        <f aca="false">L124/H124-1</f>
        <v>0.0138833796112654</v>
      </c>
      <c r="R124" s="10" t="n">
        <f aca="false">ABS(Q124)</f>
        <v>0.0138833796112654</v>
      </c>
      <c r="S124" s="2" t="s">
        <v>43</v>
      </c>
      <c r="T124" s="2" t="n">
        <v>0.24</v>
      </c>
      <c r="U124" s="2" t="n">
        <v>0.958</v>
      </c>
    </row>
    <row r="125" customFormat="false" ht="15" hidden="false" customHeight="false" outlineLevel="0" collapsed="false">
      <c r="A125" s="2" t="s">
        <v>139</v>
      </c>
      <c r="B125" s="2" t="s">
        <v>63</v>
      </c>
      <c r="C125" s="2" t="s">
        <v>39</v>
      </c>
      <c r="D125" s="2" t="s">
        <v>140</v>
      </c>
      <c r="E125" s="2" t="n">
        <v>30</v>
      </c>
      <c r="F125" s="2" t="s">
        <v>148</v>
      </c>
      <c r="G125" s="2" t="s">
        <v>149</v>
      </c>
      <c r="H125" s="8" t="n">
        <v>16717</v>
      </c>
      <c r="I125" s="8" t="n">
        <v>35830</v>
      </c>
      <c r="J125" s="9" t="n">
        <f aca="false">H125/I125</f>
        <v>0.466564331565727</v>
      </c>
      <c r="K125" s="10" t="n">
        <v>0.337</v>
      </c>
      <c r="L125" s="8" t="n">
        <v>16875</v>
      </c>
      <c r="M125" s="9" t="n">
        <f aca="false">L125/I125</f>
        <v>0.470974044097125</v>
      </c>
      <c r="N125" s="8" t="n">
        <v>17177</v>
      </c>
      <c r="O125" s="2" t="n">
        <v>0.45</v>
      </c>
      <c r="P125" s="2" t="n">
        <v>0.24</v>
      </c>
      <c r="Q125" s="10" t="n">
        <f aca="false">L125/H125-1</f>
        <v>0.00945145660106483</v>
      </c>
      <c r="R125" s="10" t="n">
        <f aca="false">ABS(Q125)</f>
        <v>0.00945145660106483</v>
      </c>
      <c r="S125" s="2" t="s">
        <v>43</v>
      </c>
      <c r="T125" s="2" t="n">
        <v>0.28</v>
      </c>
      <c r="U125" s="2" t="n">
        <v>0.978</v>
      </c>
    </row>
    <row r="126" customFormat="false" ht="15" hidden="false" customHeight="false" outlineLevel="0" collapsed="false">
      <c r="A126" s="2" t="s">
        <v>139</v>
      </c>
      <c r="B126" s="2" t="s">
        <v>64</v>
      </c>
      <c r="C126" s="2" t="s">
        <v>39</v>
      </c>
      <c r="D126" s="2" t="s">
        <v>140</v>
      </c>
      <c r="E126" s="2" t="n">
        <v>31</v>
      </c>
      <c r="F126" s="2" t="s">
        <v>148</v>
      </c>
      <c r="G126" s="2" t="s">
        <v>149</v>
      </c>
      <c r="H126" s="8" t="n">
        <v>20689</v>
      </c>
      <c r="I126" s="8" t="n">
        <v>40510</v>
      </c>
      <c r="J126" s="9" t="n">
        <f aca="false">H126/I126</f>
        <v>0.510713404097754</v>
      </c>
      <c r="K126" s="10" t="n">
        <v>0.338</v>
      </c>
      <c r="L126" s="8" t="n">
        <v>18895</v>
      </c>
      <c r="M126" s="9" t="n">
        <f aca="false">L126/I126</f>
        <v>0.466428042458652</v>
      </c>
      <c r="N126" s="8" t="n">
        <v>21363</v>
      </c>
      <c r="O126" s="2" t="n">
        <v>0.45</v>
      </c>
      <c r="P126" s="2" t="n">
        <v>0.24</v>
      </c>
      <c r="Q126" s="10" t="n">
        <f aca="false">L126/H126-1</f>
        <v>-0.0867127459036203</v>
      </c>
      <c r="R126" s="10" t="n">
        <f aca="false">ABS(Q126)</f>
        <v>0.0867127459036203</v>
      </c>
      <c r="S126" s="2" t="s">
        <v>43</v>
      </c>
      <c r="T126" s="2" t="n">
        <v>0.29</v>
      </c>
      <c r="U126" s="2" t="n">
        <v>1</v>
      </c>
    </row>
    <row r="127" customFormat="false" ht="15" hidden="false" customHeight="false" outlineLevel="0" collapsed="false">
      <c r="A127" s="2" t="s">
        <v>139</v>
      </c>
      <c r="B127" s="2" t="s">
        <v>65</v>
      </c>
      <c r="C127" s="2" t="s">
        <v>39</v>
      </c>
      <c r="D127" s="2" t="s">
        <v>140</v>
      </c>
      <c r="E127" s="2" t="n">
        <v>30</v>
      </c>
      <c r="F127" s="2" t="s">
        <v>148</v>
      </c>
      <c r="G127" s="2" t="s">
        <v>149</v>
      </c>
      <c r="H127" s="8" t="n">
        <v>25040</v>
      </c>
      <c r="I127" s="8" t="n">
        <v>43350</v>
      </c>
      <c r="J127" s="9" t="n">
        <f aca="false">H127/I127</f>
        <v>0.57762399077278</v>
      </c>
      <c r="K127" s="10" t="n">
        <v>0.367</v>
      </c>
      <c r="L127" s="8" t="n">
        <v>20210</v>
      </c>
      <c r="M127" s="9" t="n">
        <f aca="false">L127/I127</f>
        <v>0.466205305651672</v>
      </c>
      <c r="N127" s="8" t="n">
        <v>24658</v>
      </c>
      <c r="O127" s="2" t="n">
        <v>0.45</v>
      </c>
      <c r="P127" s="2" t="n">
        <v>0.24</v>
      </c>
      <c r="Q127" s="10" t="n">
        <f aca="false">L127/H127-1</f>
        <v>-0.192891373801917</v>
      </c>
      <c r="R127" s="10" t="n">
        <f aca="false">ABS(Q127)</f>
        <v>0.192891373801917</v>
      </c>
      <c r="S127" s="2" t="s">
        <v>43</v>
      </c>
      <c r="T127" s="2" t="n">
        <v>0.3</v>
      </c>
      <c r="U127" s="2" t="n">
        <v>0.982</v>
      </c>
    </row>
    <row r="128" customFormat="false" ht="15" hidden="false" customHeight="false" outlineLevel="0" collapsed="false">
      <c r="A128" s="2" t="s">
        <v>139</v>
      </c>
      <c r="B128" s="2" t="s">
        <v>66</v>
      </c>
      <c r="C128" s="2" t="s">
        <v>39</v>
      </c>
      <c r="D128" s="2" t="s">
        <v>140</v>
      </c>
      <c r="E128" s="2" t="n">
        <v>31</v>
      </c>
      <c r="F128" s="2" t="s">
        <v>148</v>
      </c>
      <c r="G128" s="2" t="s">
        <v>149</v>
      </c>
      <c r="H128" s="8" t="n">
        <v>25456</v>
      </c>
      <c r="I128" s="8" t="n">
        <v>46975</v>
      </c>
      <c r="J128" s="9" t="n">
        <f aca="false">H128/I128</f>
        <v>0.541905268759979</v>
      </c>
      <c r="K128" s="10" t="n">
        <v>0.349</v>
      </c>
      <c r="L128" s="8" t="n">
        <v>23731</v>
      </c>
      <c r="M128" s="9" t="n">
        <f aca="false">L128/I128</f>
        <v>0.505183608302289</v>
      </c>
      <c r="N128" s="8" t="n">
        <v>26114</v>
      </c>
      <c r="O128" s="2" t="n">
        <v>0.45</v>
      </c>
      <c r="P128" s="2" t="n">
        <v>0.12</v>
      </c>
      <c r="Q128" s="10" t="n">
        <f aca="false">L128/H128-1</f>
        <v>-0.0677639849151477</v>
      </c>
      <c r="R128" s="10" t="n">
        <f aca="false">ABS(Q128)</f>
        <v>0.0677639849151477</v>
      </c>
      <c r="S128" s="2" t="s">
        <v>43</v>
      </c>
      <c r="T128" s="2" t="n">
        <v>0.23</v>
      </c>
      <c r="U128" s="2" t="n">
        <v>0.964</v>
      </c>
    </row>
    <row r="129" customFormat="false" ht="15" hidden="false" customHeight="false" outlineLevel="0" collapsed="false">
      <c r="A129" s="2" t="s">
        <v>139</v>
      </c>
      <c r="B129" s="2" t="s">
        <v>67</v>
      </c>
      <c r="C129" s="2" t="s">
        <v>39</v>
      </c>
      <c r="D129" s="2" t="s">
        <v>140</v>
      </c>
      <c r="E129" s="2" t="n">
        <v>31</v>
      </c>
      <c r="F129" s="2" t="s">
        <v>148</v>
      </c>
      <c r="G129" s="2" t="s">
        <v>149</v>
      </c>
      <c r="H129" s="8" t="n">
        <v>29950</v>
      </c>
      <c r="I129" s="8" t="n">
        <v>54626</v>
      </c>
      <c r="J129" s="9" t="n">
        <f aca="false">H129/I129</f>
        <v>0.548273715812983</v>
      </c>
      <c r="K129" s="10" t="n">
        <v>0.314</v>
      </c>
      <c r="L129" s="8" t="n">
        <v>26915</v>
      </c>
      <c r="M129" s="9" t="n">
        <f aca="false">L129/I129</f>
        <v>0.492714092190532</v>
      </c>
      <c r="N129" s="8" t="n">
        <v>28418</v>
      </c>
      <c r="O129" s="2" t="n">
        <v>0.45</v>
      </c>
      <c r="P129" s="2" t="n">
        <v>0.12</v>
      </c>
      <c r="Q129" s="10" t="n">
        <f aca="false">L129/H129-1</f>
        <v>-0.101335559265442</v>
      </c>
      <c r="R129" s="10" t="n">
        <f aca="false">ABS(Q129)</f>
        <v>0.101335559265442</v>
      </c>
      <c r="S129" s="2" t="s">
        <v>43</v>
      </c>
      <c r="T129" s="2" t="n">
        <v>0.24</v>
      </c>
      <c r="U129" s="2" t="n">
        <v>1.047</v>
      </c>
    </row>
    <row r="130" customFormat="false" ht="15" hidden="false" customHeight="false" outlineLevel="0" collapsed="false">
      <c r="A130" s="2" t="s">
        <v>139</v>
      </c>
      <c r="B130" s="2" t="s">
        <v>68</v>
      </c>
      <c r="C130" s="2" t="s">
        <v>39</v>
      </c>
      <c r="D130" s="2" t="s">
        <v>140</v>
      </c>
      <c r="E130" s="2" t="n">
        <v>30</v>
      </c>
      <c r="F130" s="2" t="s">
        <v>150</v>
      </c>
      <c r="G130" s="2" t="s">
        <v>149</v>
      </c>
      <c r="H130" s="8" t="n">
        <v>29867</v>
      </c>
      <c r="I130" s="8" t="n">
        <v>54572</v>
      </c>
      <c r="J130" s="9" t="n">
        <f aca="false">H130/I130</f>
        <v>0.547295316279411</v>
      </c>
      <c r="K130" s="10" t="n">
        <v>0.242</v>
      </c>
      <c r="L130" s="8" t="n">
        <v>28796</v>
      </c>
      <c r="M130" s="9" t="n">
        <f aca="false">L130/I130</f>
        <v>0.527669867331232</v>
      </c>
      <c r="N130" s="8" t="n">
        <v>29226</v>
      </c>
      <c r="O130" s="2" t="n">
        <v>0.45</v>
      </c>
      <c r="P130" s="2" t="n">
        <v>0.12</v>
      </c>
      <c r="Q130" s="10" t="n">
        <f aca="false">L130/H130-1</f>
        <v>-0.0358589747882279</v>
      </c>
      <c r="R130" s="10" t="n">
        <f aca="false">ABS(Q130)</f>
        <v>0.0358589747882279</v>
      </c>
      <c r="S130" s="2" t="s">
        <v>43</v>
      </c>
      <c r="T130" s="2" t="n">
        <v>0.21</v>
      </c>
      <c r="U130" s="2" t="n">
        <v>0.996</v>
      </c>
    </row>
    <row r="131" customFormat="false" ht="15" hidden="false" customHeight="false" outlineLevel="0" collapsed="false">
      <c r="A131" s="2" t="s">
        <v>151</v>
      </c>
      <c r="B131" s="2" t="s">
        <v>38</v>
      </c>
      <c r="C131" s="2" t="s">
        <v>39</v>
      </c>
      <c r="D131" s="2" t="s">
        <v>140</v>
      </c>
      <c r="E131" s="2" t="n">
        <v>31</v>
      </c>
      <c r="F131" s="2" t="s">
        <v>152</v>
      </c>
      <c r="G131" s="2" t="s">
        <v>149</v>
      </c>
      <c r="H131" s="8" t="n">
        <v>8750</v>
      </c>
      <c r="I131" s="8" t="n">
        <v>9654</v>
      </c>
      <c r="J131" s="9" t="n">
        <f aca="false">H131/I131</f>
        <v>0.906360058007044</v>
      </c>
      <c r="K131" s="10" t="n">
        <v>0.163</v>
      </c>
      <c r="L131" s="8" t="n">
        <v>7272</v>
      </c>
      <c r="M131" s="9" t="n">
        <f aca="false">L131/I131</f>
        <v>0.753262896208825</v>
      </c>
      <c r="N131" s="8" t="n">
        <v>8305</v>
      </c>
      <c r="O131" s="2" t="n">
        <v>0.46</v>
      </c>
      <c r="P131" s="2" t="n">
        <v>0.28</v>
      </c>
      <c r="Q131" s="10" t="n">
        <f aca="false">L131/H131-1</f>
        <v>-0.168914285714286</v>
      </c>
      <c r="R131" s="10" t="n">
        <f aca="false">ABS(Q131)</f>
        <v>0.168914285714286</v>
      </c>
      <c r="S131" s="2" t="s">
        <v>146</v>
      </c>
      <c r="T131" s="2" t="n">
        <v>0.11</v>
      </c>
      <c r="U131" s="2" t="n">
        <v>1.25</v>
      </c>
    </row>
    <row r="132" customFormat="false" ht="15" hidden="false" customHeight="false" outlineLevel="0" collapsed="false">
      <c r="A132" s="2" t="s">
        <v>151</v>
      </c>
      <c r="B132" s="2" t="s">
        <v>44</v>
      </c>
      <c r="C132" s="2" t="s">
        <v>39</v>
      </c>
      <c r="D132" s="2" t="s">
        <v>140</v>
      </c>
      <c r="E132" s="2" t="n">
        <v>27</v>
      </c>
      <c r="F132" s="2" t="s">
        <v>152</v>
      </c>
      <c r="G132" s="2" t="s">
        <v>149</v>
      </c>
      <c r="H132" s="8" t="n">
        <v>8150</v>
      </c>
      <c r="I132" s="8" t="n">
        <v>8803</v>
      </c>
      <c r="J132" s="9" t="n">
        <f aca="false">H132/I132</f>
        <v>0.925820742928547</v>
      </c>
      <c r="K132" s="10" t="n">
        <v>0.161</v>
      </c>
      <c r="L132" s="8" t="n">
        <v>7806</v>
      </c>
      <c r="M132" s="9" t="n">
        <f aca="false">L132/I132</f>
        <v>0.886743155742361</v>
      </c>
      <c r="N132" s="8" t="n">
        <v>7808</v>
      </c>
      <c r="O132" s="2" t="n">
        <v>0.46</v>
      </c>
      <c r="P132" s="2" t="n">
        <v>0.28</v>
      </c>
      <c r="Q132" s="10" t="n">
        <f aca="false">L132/H132-1</f>
        <v>-0.0422085889570553</v>
      </c>
      <c r="R132" s="10" t="n">
        <f aca="false">ABS(Q132)</f>
        <v>0.0422085889570553</v>
      </c>
      <c r="S132" s="2" t="s">
        <v>146</v>
      </c>
      <c r="T132" s="2" t="n">
        <v>0.09</v>
      </c>
      <c r="U132" s="2" t="n">
        <v>1.166</v>
      </c>
    </row>
    <row r="133" customFormat="false" ht="15" hidden="false" customHeight="false" outlineLevel="0" collapsed="false">
      <c r="A133" s="2" t="s">
        <v>151</v>
      </c>
      <c r="B133" s="2" t="s">
        <v>46</v>
      </c>
      <c r="C133" s="2" t="s">
        <v>39</v>
      </c>
      <c r="D133" s="2" t="s">
        <v>140</v>
      </c>
      <c r="E133" s="2" t="n">
        <v>31</v>
      </c>
      <c r="F133" s="2" t="s">
        <v>153</v>
      </c>
      <c r="G133" s="2" t="s">
        <v>142</v>
      </c>
      <c r="H133" s="8" t="n">
        <v>9300</v>
      </c>
      <c r="I133" s="8" t="n">
        <v>10835</v>
      </c>
      <c r="J133" s="9" t="n">
        <f aca="false">H133/I133</f>
        <v>0.858329487771112</v>
      </c>
      <c r="K133" s="10" t="n">
        <v>0.13</v>
      </c>
      <c r="L133" s="8" t="n">
        <v>9813</v>
      </c>
      <c r="M133" s="9" t="n">
        <f aca="false">L133/I133</f>
        <v>0.905676049838486</v>
      </c>
      <c r="N133" s="8" t="n">
        <v>8223</v>
      </c>
      <c r="O133" s="2" t="n">
        <v>0.46</v>
      </c>
      <c r="P133" s="2" t="n">
        <v>0.28</v>
      </c>
      <c r="Q133" s="10" t="n">
        <f aca="false">L133/H133-1</f>
        <v>0.0551612903225807</v>
      </c>
      <c r="R133" s="10" t="n">
        <f aca="false">ABS(Q133)</f>
        <v>0.0551612903225807</v>
      </c>
      <c r="S133" s="2" t="s">
        <v>146</v>
      </c>
      <c r="T133" s="2" t="n">
        <v>0.08</v>
      </c>
      <c r="U133" s="2" t="n">
        <v>0.97</v>
      </c>
    </row>
    <row r="134" customFormat="false" ht="15" hidden="false" customHeight="false" outlineLevel="0" collapsed="false">
      <c r="A134" s="2" t="s">
        <v>151</v>
      </c>
      <c r="B134" s="2" t="s">
        <v>48</v>
      </c>
      <c r="C134" s="2" t="s">
        <v>39</v>
      </c>
      <c r="D134" s="2" t="s">
        <v>140</v>
      </c>
      <c r="E134" s="2" t="n">
        <v>30</v>
      </c>
      <c r="F134" s="2" t="s">
        <v>154</v>
      </c>
      <c r="G134" s="2" t="s">
        <v>155</v>
      </c>
      <c r="H134" s="8" t="n">
        <v>6250</v>
      </c>
      <c r="I134" s="8" t="n">
        <v>13448</v>
      </c>
      <c r="J134" s="9" t="n">
        <f aca="false">H134/I134</f>
        <v>0.464753123140988</v>
      </c>
      <c r="K134" s="10" t="n">
        <v>0.22</v>
      </c>
      <c r="L134" s="8" t="n">
        <v>6691</v>
      </c>
      <c r="M134" s="9" t="n">
        <f aca="false">L134/I134</f>
        <v>0.497546103509816</v>
      </c>
      <c r="N134" s="8" t="n">
        <v>6775</v>
      </c>
      <c r="O134" s="2" t="n">
        <v>0.46</v>
      </c>
      <c r="P134" s="2" t="n">
        <v>0.28</v>
      </c>
      <c r="Q134" s="10" t="n">
        <f aca="false">L134/H134-1</f>
        <v>0.07056</v>
      </c>
      <c r="R134" s="10" t="n">
        <f aca="false">ABS(Q134)</f>
        <v>0.07056</v>
      </c>
      <c r="S134" s="2" t="s">
        <v>146</v>
      </c>
      <c r="T134" s="2" t="n">
        <v>0.19</v>
      </c>
      <c r="U134" s="2" t="n">
        <v>1.057</v>
      </c>
    </row>
    <row r="135" customFormat="false" ht="15" hidden="false" customHeight="false" outlineLevel="0" collapsed="false">
      <c r="A135" s="2" t="s">
        <v>151</v>
      </c>
      <c r="B135" s="2" t="s">
        <v>50</v>
      </c>
      <c r="C135" s="2" t="s">
        <v>39</v>
      </c>
      <c r="D135" s="2" t="s">
        <v>140</v>
      </c>
      <c r="E135" s="2" t="n">
        <v>30</v>
      </c>
      <c r="F135" s="2" t="s">
        <v>154</v>
      </c>
      <c r="G135" s="2" t="s">
        <v>155</v>
      </c>
      <c r="H135" s="8" t="n">
        <v>8250</v>
      </c>
      <c r="I135" s="8" t="n">
        <v>17370</v>
      </c>
      <c r="J135" s="9" t="n">
        <f aca="false">H135/I135</f>
        <v>0.474956822107081</v>
      </c>
      <c r="K135" s="10" t="n">
        <v>0.174</v>
      </c>
      <c r="L135" s="8" t="n">
        <v>7963</v>
      </c>
      <c r="M135" s="9" t="n">
        <f aca="false">L135/I135</f>
        <v>0.458434081750144</v>
      </c>
      <c r="N135" s="8" t="n">
        <v>7896</v>
      </c>
      <c r="O135" s="2" t="n">
        <v>0.46</v>
      </c>
      <c r="P135" s="2" t="n">
        <v>0.28</v>
      </c>
      <c r="Q135" s="10" t="n">
        <f aca="false">L135/H135-1</f>
        <v>-0.0347878787878788</v>
      </c>
      <c r="R135" s="10" t="n">
        <f aca="false">ABS(Q135)</f>
        <v>0.0347878787878788</v>
      </c>
      <c r="S135" s="2" t="s">
        <v>146</v>
      </c>
      <c r="T135" s="2" t="n">
        <v>0.23</v>
      </c>
      <c r="U135" s="2" t="n">
        <v>0.978</v>
      </c>
    </row>
    <row r="136" customFormat="false" ht="15" hidden="false" customHeight="false" outlineLevel="0" collapsed="false">
      <c r="A136" s="2" t="s">
        <v>151</v>
      </c>
      <c r="B136" s="2" t="s">
        <v>52</v>
      </c>
      <c r="C136" s="2" t="s">
        <v>39</v>
      </c>
      <c r="D136" s="2" t="s">
        <v>140</v>
      </c>
      <c r="E136" s="2" t="n">
        <v>31</v>
      </c>
      <c r="F136" s="2" t="s">
        <v>154</v>
      </c>
      <c r="G136" s="2" t="s">
        <v>155</v>
      </c>
      <c r="H136" s="8" t="n">
        <v>11879</v>
      </c>
      <c r="I136" s="8" t="n">
        <v>25318</v>
      </c>
      <c r="J136" s="9" t="n">
        <f aca="false">H136/I136</f>
        <v>0.469191879295363</v>
      </c>
      <c r="K136" s="10" t="n">
        <v>0.148</v>
      </c>
      <c r="L136" s="8" t="n">
        <v>10434</v>
      </c>
      <c r="M136" s="9" t="n">
        <f aca="false">L136/I136</f>
        <v>0.412117860810491</v>
      </c>
      <c r="N136" s="8" t="n">
        <v>11341</v>
      </c>
      <c r="O136" s="2" t="n">
        <v>0.62</v>
      </c>
      <c r="P136" s="2" t="n">
        <v>0.29</v>
      </c>
      <c r="Q136" s="10" t="n">
        <f aca="false">L136/H136-1</f>
        <v>-0.121643235962623</v>
      </c>
      <c r="R136" s="10" t="n">
        <f aca="false">ABS(Q136)</f>
        <v>0.121643235962623</v>
      </c>
      <c r="S136" s="2" t="s">
        <v>43</v>
      </c>
      <c r="T136" s="2" t="n">
        <v>0.34</v>
      </c>
      <c r="U136" s="2" t="n">
        <v>1.006</v>
      </c>
    </row>
    <row r="137" customFormat="false" ht="15" hidden="false" customHeight="false" outlineLevel="0" collapsed="false">
      <c r="A137" s="2" t="s">
        <v>151</v>
      </c>
      <c r="B137" s="2" t="s">
        <v>53</v>
      </c>
      <c r="C137" s="2" t="s">
        <v>39</v>
      </c>
      <c r="D137" s="2" t="s">
        <v>140</v>
      </c>
      <c r="E137" s="2" t="n">
        <v>31</v>
      </c>
      <c r="F137" s="2" t="s">
        <v>154</v>
      </c>
      <c r="G137" s="2" t="s">
        <v>155</v>
      </c>
      <c r="H137" s="8" t="n">
        <v>13321</v>
      </c>
      <c r="I137" s="8" t="n">
        <v>29277</v>
      </c>
      <c r="J137" s="9" t="n">
        <f aca="false">H137/I137</f>
        <v>0.454998804522321</v>
      </c>
      <c r="K137" s="10" t="n">
        <v>0.122</v>
      </c>
      <c r="L137" s="8" t="n">
        <v>11836</v>
      </c>
      <c r="M137" s="9" t="n">
        <f aca="false">L137/I137</f>
        <v>0.404276394439321</v>
      </c>
      <c r="N137" s="8" t="n">
        <v>12070</v>
      </c>
      <c r="O137" s="2" t="n">
        <v>0.62</v>
      </c>
      <c r="P137" s="2" t="n">
        <v>0.29</v>
      </c>
      <c r="Q137" s="10" t="n">
        <f aca="false">L137/H137-1</f>
        <v>-0.111478117258464</v>
      </c>
      <c r="R137" s="10" t="n">
        <f aca="false">ABS(Q137)</f>
        <v>0.111478117258464</v>
      </c>
      <c r="S137" s="2" t="s">
        <v>43</v>
      </c>
      <c r="T137" s="2" t="n">
        <v>0.37</v>
      </c>
      <c r="U137" s="2" t="n">
        <v>0.995</v>
      </c>
    </row>
    <row r="138" customFormat="false" ht="15" hidden="false" customHeight="false" outlineLevel="0" collapsed="false">
      <c r="A138" s="2" t="s">
        <v>151</v>
      </c>
      <c r="B138" s="2" t="s">
        <v>54</v>
      </c>
      <c r="C138" s="2" t="s">
        <v>39</v>
      </c>
      <c r="D138" s="2" t="s">
        <v>140</v>
      </c>
      <c r="E138" s="2" t="n">
        <v>30</v>
      </c>
      <c r="F138" s="2" t="s">
        <v>154</v>
      </c>
      <c r="G138" s="2" t="s">
        <v>155</v>
      </c>
      <c r="H138" s="8" t="n">
        <v>10150</v>
      </c>
      <c r="I138" s="8" t="n">
        <v>27882</v>
      </c>
      <c r="J138" s="9" t="n">
        <f aca="false">H138/I138</f>
        <v>0.364034143892117</v>
      </c>
      <c r="K138" s="10" t="n">
        <v>0.12</v>
      </c>
      <c r="L138" s="8" t="n">
        <v>11256</v>
      </c>
      <c r="M138" s="9" t="n">
        <f aca="false">L138/I138</f>
        <v>0.403701312674844</v>
      </c>
      <c r="N138" s="8" t="n">
        <v>11256</v>
      </c>
      <c r="O138" s="2" t="n">
        <v>0.62</v>
      </c>
      <c r="P138" s="2" t="n">
        <v>0.29</v>
      </c>
      <c r="Q138" s="10" t="n">
        <f aca="false">L138/H138-1</f>
        <v>0.108965517241379</v>
      </c>
      <c r="R138" s="10" t="n">
        <f aca="false">ABS(Q138)</f>
        <v>0.108965517241379</v>
      </c>
      <c r="S138" s="2" t="s">
        <v>43</v>
      </c>
      <c r="T138" s="2" t="n">
        <v>0.37</v>
      </c>
      <c r="U138" s="2" t="n">
        <v>1.077</v>
      </c>
    </row>
    <row r="139" customFormat="false" ht="15" hidden="false" customHeight="false" outlineLevel="0" collapsed="false">
      <c r="A139" s="2" t="s">
        <v>151</v>
      </c>
      <c r="B139" s="2" t="s">
        <v>57</v>
      </c>
      <c r="C139" s="2" t="s">
        <v>39</v>
      </c>
      <c r="D139" s="2" t="s">
        <v>140</v>
      </c>
      <c r="E139" s="2" t="n">
        <v>31</v>
      </c>
      <c r="F139" s="2" t="s">
        <v>154</v>
      </c>
      <c r="G139" s="2" t="s">
        <v>155</v>
      </c>
      <c r="H139" s="8" t="n">
        <v>7550</v>
      </c>
      <c r="I139" s="8" t="n">
        <v>19888</v>
      </c>
      <c r="J139" s="9" t="n">
        <f aca="false">H139/I139</f>
        <v>0.379625905068383</v>
      </c>
      <c r="K139" s="10" t="n">
        <v>0.218</v>
      </c>
      <c r="L139" s="8" t="n">
        <v>8742</v>
      </c>
      <c r="M139" s="9" t="n">
        <f aca="false">L139/I139</f>
        <v>0.43956154465004</v>
      </c>
      <c r="N139" s="8" t="n">
        <v>8639</v>
      </c>
      <c r="O139" s="2" t="n">
        <v>0.45</v>
      </c>
      <c r="P139" s="2" t="n">
        <v>0.15</v>
      </c>
      <c r="Q139" s="10" t="n">
        <f aca="false">L139/H139-1</f>
        <v>0.157880794701987</v>
      </c>
      <c r="R139" s="10" t="n">
        <f aca="false">ABS(Q139)</f>
        <v>0.157880794701987</v>
      </c>
      <c r="S139" s="2" t="s">
        <v>43</v>
      </c>
      <c r="T139" s="2" t="n">
        <v>0.26</v>
      </c>
      <c r="U139" s="2" t="n">
        <v>0.915</v>
      </c>
    </row>
    <row r="140" customFormat="false" ht="15" hidden="false" customHeight="false" outlineLevel="0" collapsed="false">
      <c r="A140" s="2" t="s">
        <v>151</v>
      </c>
      <c r="B140" s="2" t="s">
        <v>58</v>
      </c>
      <c r="C140" s="2" t="s">
        <v>39</v>
      </c>
      <c r="D140" s="2" t="s">
        <v>140</v>
      </c>
      <c r="E140" s="2" t="n">
        <v>30</v>
      </c>
      <c r="F140" s="2" t="s">
        <v>154</v>
      </c>
      <c r="G140" s="2" t="s">
        <v>155</v>
      </c>
      <c r="H140" s="8" t="n">
        <v>8409</v>
      </c>
      <c r="I140" s="8" t="n">
        <v>17741</v>
      </c>
      <c r="J140" s="9" t="n">
        <f aca="false">H140/I140</f>
        <v>0.473986810213629</v>
      </c>
      <c r="K140" s="10" t="n">
        <v>0.209</v>
      </c>
      <c r="L140" s="8" t="n">
        <v>8004</v>
      </c>
      <c r="M140" s="9" t="n">
        <f aca="false">L140/I140</f>
        <v>0.451158333803055</v>
      </c>
      <c r="N140" s="8" t="n">
        <v>7967</v>
      </c>
      <c r="O140" s="2" t="n">
        <v>0.45</v>
      </c>
      <c r="P140" s="2" t="n">
        <v>0.15</v>
      </c>
      <c r="Q140" s="10" t="n">
        <f aca="false">L140/H140-1</f>
        <v>-0.0481626828398145</v>
      </c>
      <c r="R140" s="10" t="n">
        <f aca="false">ABS(Q140)</f>
        <v>0.0481626828398145</v>
      </c>
      <c r="S140" s="2" t="s">
        <v>43</v>
      </c>
      <c r="T140" s="2" t="n">
        <v>0.24</v>
      </c>
      <c r="U140" s="2" t="n">
        <v>1.021</v>
      </c>
    </row>
    <row r="141" customFormat="false" ht="15" hidden="false" customHeight="false" outlineLevel="0" collapsed="false">
      <c r="A141" s="2" t="s">
        <v>151</v>
      </c>
      <c r="B141" s="2" t="s">
        <v>59</v>
      </c>
      <c r="C141" s="2" t="s">
        <v>39</v>
      </c>
      <c r="D141" s="2" t="s">
        <v>140</v>
      </c>
      <c r="E141" s="2" t="n">
        <v>31</v>
      </c>
      <c r="F141" s="2" t="s">
        <v>156</v>
      </c>
      <c r="G141" s="2" t="s">
        <v>155</v>
      </c>
      <c r="H141" s="8" t="n">
        <v>7276</v>
      </c>
      <c r="I141" s="8" t="n">
        <v>16588</v>
      </c>
      <c r="J141" s="9" t="n">
        <f aca="false">H141/I141</f>
        <v>0.438630335182059</v>
      </c>
      <c r="K141" s="10" t="n">
        <v>0.133</v>
      </c>
      <c r="L141" s="8" t="n">
        <v>7684</v>
      </c>
      <c r="M141" s="9" t="n">
        <f aca="false">L141/I141</f>
        <v>0.46322642874367</v>
      </c>
      <c r="N141" s="8" t="n">
        <v>7685</v>
      </c>
      <c r="O141" s="2" t="n">
        <v>0.45</v>
      </c>
      <c r="P141" s="2" t="n">
        <v>0.15</v>
      </c>
      <c r="Q141" s="10" t="n">
        <f aca="false">L141/H141-1</f>
        <v>0.0560747663551402</v>
      </c>
      <c r="R141" s="10" t="n">
        <f aca="false">ABS(Q141)</f>
        <v>0.0560747663551402</v>
      </c>
      <c r="S141" s="2" t="s">
        <v>43</v>
      </c>
      <c r="T141" s="2" t="n">
        <v>0.22</v>
      </c>
      <c r="U141" s="2" t="n">
        <v>1.059</v>
      </c>
    </row>
    <row r="142" customFormat="false" ht="15" hidden="false" customHeight="false" outlineLevel="0" collapsed="false">
      <c r="A142" s="2" t="s">
        <v>151</v>
      </c>
      <c r="B142" s="2" t="s">
        <v>60</v>
      </c>
      <c r="C142" s="2" t="s">
        <v>39</v>
      </c>
      <c r="D142" s="2" t="s">
        <v>140</v>
      </c>
      <c r="E142" s="2" t="n">
        <v>31</v>
      </c>
      <c r="F142" s="2" t="s">
        <v>154</v>
      </c>
      <c r="G142" s="2" t="s">
        <v>155</v>
      </c>
      <c r="H142" s="8" t="n">
        <v>7915</v>
      </c>
      <c r="I142" s="8" t="n">
        <v>16024</v>
      </c>
      <c r="J142" s="9" t="n">
        <f aca="false">H142/I142</f>
        <v>0.493946580129805</v>
      </c>
      <c r="K142" s="10" t="n">
        <v>0.219</v>
      </c>
      <c r="L142" s="8" t="n">
        <v>7425</v>
      </c>
      <c r="M142" s="9" t="n">
        <f aca="false">L142/I142</f>
        <v>0.46336744882676</v>
      </c>
      <c r="N142" s="8" t="n">
        <v>7432</v>
      </c>
      <c r="O142" s="2" t="n">
        <v>0.45</v>
      </c>
      <c r="P142" s="2" t="n">
        <v>0.2</v>
      </c>
      <c r="Q142" s="10" t="n">
        <f aca="false">L142/H142-1</f>
        <v>-0.0619077700568541</v>
      </c>
      <c r="R142" s="10" t="n">
        <f aca="false">ABS(Q142)</f>
        <v>0.0619077700568541</v>
      </c>
      <c r="S142" s="2" t="s">
        <v>43</v>
      </c>
      <c r="T142" s="2" t="n">
        <v>0.22</v>
      </c>
      <c r="U142" s="2" t="n">
        <v>1.034</v>
      </c>
    </row>
    <row r="143" customFormat="false" ht="15" hidden="false" customHeight="false" outlineLevel="0" collapsed="false">
      <c r="A143" s="2" t="s">
        <v>151</v>
      </c>
      <c r="B143" s="2" t="s">
        <v>61</v>
      </c>
      <c r="C143" s="2" t="s">
        <v>39</v>
      </c>
      <c r="D143" s="2" t="s">
        <v>140</v>
      </c>
      <c r="E143" s="2" t="n">
        <v>28</v>
      </c>
      <c r="F143" s="2" t="s">
        <v>154</v>
      </c>
      <c r="G143" s="2" t="s">
        <v>155</v>
      </c>
      <c r="H143" s="8" t="n">
        <v>6009</v>
      </c>
      <c r="I143" s="8" t="n">
        <v>14217</v>
      </c>
      <c r="J143" s="9" t="n">
        <f aca="false">H143/I143</f>
        <v>0.422663009073644</v>
      </c>
      <c r="K143" s="10" t="n">
        <v>0.221</v>
      </c>
      <c r="L143" s="8" t="n">
        <v>6684</v>
      </c>
      <c r="M143" s="9" t="n">
        <f aca="false">L143/I143</f>
        <v>0.470141380037983</v>
      </c>
      <c r="N143" s="8" t="n">
        <v>6695</v>
      </c>
      <c r="O143" s="2" t="n">
        <v>0.45</v>
      </c>
      <c r="P143" s="2" t="n">
        <v>0.2</v>
      </c>
      <c r="Q143" s="10" t="n">
        <f aca="false">L143/H143-1</f>
        <v>0.112331502745881</v>
      </c>
      <c r="R143" s="10" t="n">
        <f aca="false">ABS(Q143)</f>
        <v>0.112331502745881</v>
      </c>
      <c r="S143" s="2" t="s">
        <v>43</v>
      </c>
      <c r="T143" s="2" t="n">
        <v>0.21</v>
      </c>
      <c r="U143" s="2" t="n">
        <v>0.976</v>
      </c>
    </row>
    <row r="144" customFormat="false" ht="15" hidden="false" customHeight="false" outlineLevel="0" collapsed="false">
      <c r="A144" s="2" t="s">
        <v>151</v>
      </c>
      <c r="B144" s="2" t="s">
        <v>62</v>
      </c>
      <c r="C144" s="2" t="s">
        <v>39</v>
      </c>
      <c r="D144" s="2" t="s">
        <v>140</v>
      </c>
      <c r="E144" s="2" t="n">
        <v>31</v>
      </c>
      <c r="F144" s="2" t="s">
        <v>154</v>
      </c>
      <c r="G144" s="2" t="s">
        <v>155</v>
      </c>
      <c r="H144" s="8" t="n">
        <v>6202</v>
      </c>
      <c r="I144" s="8" t="n">
        <v>13250</v>
      </c>
      <c r="J144" s="9" t="n">
        <f aca="false">H144/I144</f>
        <v>0.468075471698113</v>
      </c>
      <c r="K144" s="10" t="n">
        <v>0.136</v>
      </c>
      <c r="L144" s="8" t="n">
        <v>6607</v>
      </c>
      <c r="M144" s="9" t="n">
        <f aca="false">L144/I144</f>
        <v>0.498641509433962</v>
      </c>
      <c r="N144" s="8" t="n">
        <v>6642</v>
      </c>
      <c r="O144" s="2" t="n">
        <v>0.45</v>
      </c>
      <c r="P144" s="2" t="n">
        <v>0.2</v>
      </c>
      <c r="Q144" s="10" t="n">
        <f aca="false">L144/H144-1</f>
        <v>0.065301515640116</v>
      </c>
      <c r="R144" s="10" t="n">
        <f aca="false">ABS(Q144)</f>
        <v>0.065301515640116</v>
      </c>
      <c r="S144" s="2" t="s">
        <v>43</v>
      </c>
      <c r="T144" s="2" t="n">
        <v>0.18</v>
      </c>
      <c r="U144" s="2" t="n">
        <v>0.986</v>
      </c>
    </row>
    <row r="145" customFormat="false" ht="15" hidden="false" customHeight="false" outlineLevel="0" collapsed="false">
      <c r="A145" s="2" t="s">
        <v>151</v>
      </c>
      <c r="B145" s="2" t="s">
        <v>65</v>
      </c>
      <c r="C145" s="2" t="s">
        <v>39</v>
      </c>
      <c r="D145" s="2" t="s">
        <v>140</v>
      </c>
      <c r="E145" s="2" t="n">
        <v>30</v>
      </c>
      <c r="F145" s="2" t="s">
        <v>154</v>
      </c>
      <c r="G145" s="2" t="s">
        <v>155</v>
      </c>
      <c r="H145" s="8" t="n">
        <v>7807</v>
      </c>
      <c r="I145" s="8" t="n">
        <v>19750</v>
      </c>
      <c r="J145" s="9" t="n">
        <f aca="false">H145/I145</f>
        <v>0.395291139240506</v>
      </c>
      <c r="K145" s="10" t="n">
        <v>0.292</v>
      </c>
      <c r="L145" s="8" t="n">
        <v>8517</v>
      </c>
      <c r="M145" s="9" t="n">
        <f aca="false">L145/I145</f>
        <v>0.431240506329114</v>
      </c>
      <c r="N145" s="8" t="n">
        <v>8557</v>
      </c>
      <c r="O145" s="2" t="n">
        <v>0.45</v>
      </c>
      <c r="P145" s="2" t="n">
        <v>0.26</v>
      </c>
      <c r="Q145" s="10" t="n">
        <f aca="false">L145/H145-1</f>
        <v>0.0909440245933137</v>
      </c>
      <c r="R145" s="10" t="n">
        <f aca="false">ABS(Q145)</f>
        <v>0.0909440245933137</v>
      </c>
      <c r="S145" s="2" t="s">
        <v>43</v>
      </c>
      <c r="T145" s="2" t="n">
        <v>0.27</v>
      </c>
      <c r="U145" s="2" t="n">
        <v>0.982</v>
      </c>
    </row>
    <row r="146" customFormat="false" ht="15" hidden="false" customHeight="false" outlineLevel="0" collapsed="false">
      <c r="A146" s="2" t="s">
        <v>151</v>
      </c>
      <c r="B146" s="2" t="s">
        <v>66</v>
      </c>
      <c r="C146" s="2" t="s">
        <v>39</v>
      </c>
      <c r="D146" s="2" t="s">
        <v>140</v>
      </c>
      <c r="E146" s="2" t="n">
        <v>31</v>
      </c>
      <c r="F146" s="2" t="s">
        <v>154</v>
      </c>
      <c r="G146" s="2" t="s">
        <v>155</v>
      </c>
      <c r="H146" s="8" t="n">
        <v>8613</v>
      </c>
      <c r="I146" s="8" t="n">
        <v>22820</v>
      </c>
      <c r="J146" s="9" t="n">
        <f aca="false">H146/I146</f>
        <v>0.377432077125329</v>
      </c>
      <c r="K146" s="10" t="n">
        <v>0.283</v>
      </c>
      <c r="L146" s="8" t="n">
        <v>9553</v>
      </c>
      <c r="M146" s="9" t="n">
        <f aca="false">L146/I146</f>
        <v>0.418624014022787</v>
      </c>
      <c r="N146" s="8" t="n">
        <v>9573</v>
      </c>
      <c r="O146" s="2" t="n">
        <v>0.51</v>
      </c>
      <c r="P146" s="2" t="n">
        <v>0.29</v>
      </c>
      <c r="Q146" s="10" t="n">
        <f aca="false">L146/H146-1</f>
        <v>0.109137350516661</v>
      </c>
      <c r="R146" s="10" t="n">
        <f aca="false">ABS(Q146)</f>
        <v>0.109137350516661</v>
      </c>
      <c r="S146" s="2" t="s">
        <v>43</v>
      </c>
      <c r="T146" s="2" t="n">
        <v>0.31</v>
      </c>
      <c r="U146" s="2" t="n">
        <v>0.94</v>
      </c>
    </row>
    <row r="147" customFormat="false" ht="15" hidden="false" customHeight="false" outlineLevel="0" collapsed="false">
      <c r="A147" s="2" t="s">
        <v>151</v>
      </c>
      <c r="B147" s="2" t="s">
        <v>67</v>
      </c>
      <c r="C147" s="2" t="s">
        <v>39</v>
      </c>
      <c r="D147" s="2" t="s">
        <v>140</v>
      </c>
      <c r="E147" s="2" t="n">
        <v>31</v>
      </c>
      <c r="F147" s="2" t="s">
        <v>154</v>
      </c>
      <c r="G147" s="2" t="s">
        <v>155</v>
      </c>
      <c r="H147" s="8" t="n">
        <v>11088</v>
      </c>
      <c r="I147" s="8" t="n">
        <v>26256</v>
      </c>
      <c r="J147" s="9" t="n">
        <f aca="false">H147/I147</f>
        <v>0.422303473491773</v>
      </c>
      <c r="K147" s="10" t="n">
        <v>0.262</v>
      </c>
      <c r="L147" s="8" t="n">
        <v>10681</v>
      </c>
      <c r="M147" s="9" t="n">
        <f aca="false">L147/I147</f>
        <v>0.40680225472273</v>
      </c>
      <c r="N147" s="8" t="n">
        <v>10657</v>
      </c>
      <c r="O147" s="2" t="n">
        <v>0.51</v>
      </c>
      <c r="P147" s="2" t="n">
        <v>0.29</v>
      </c>
      <c r="Q147" s="10" t="n">
        <f aca="false">L147/H147-1</f>
        <v>-0.0367063492063492</v>
      </c>
      <c r="R147" s="10" t="n">
        <f aca="false">ABS(Q147)</f>
        <v>0.0367063492063492</v>
      </c>
      <c r="S147" s="2" t="s">
        <v>43</v>
      </c>
      <c r="T147" s="2" t="n">
        <v>0.35</v>
      </c>
      <c r="U147" s="2" t="n">
        <v>1.008</v>
      </c>
    </row>
    <row r="148" customFormat="false" ht="15" hidden="false" customHeight="false" outlineLevel="0" collapsed="false">
      <c r="A148" s="2" t="s">
        <v>151</v>
      </c>
      <c r="B148" s="2" t="s">
        <v>68</v>
      </c>
      <c r="C148" s="2" t="s">
        <v>39</v>
      </c>
      <c r="D148" s="2" t="s">
        <v>140</v>
      </c>
      <c r="E148" s="2" t="n">
        <v>30</v>
      </c>
      <c r="F148" s="2" t="s">
        <v>154</v>
      </c>
      <c r="G148" s="2" t="s">
        <v>155</v>
      </c>
      <c r="H148" s="8" t="n">
        <v>9212</v>
      </c>
      <c r="I148" s="8" t="n">
        <v>24382</v>
      </c>
      <c r="J148" s="9" t="n">
        <f aca="false">H148/I148</f>
        <v>0.377819703059634</v>
      </c>
      <c r="K148" s="10" t="n">
        <v>0.237</v>
      </c>
      <c r="L148" s="8" t="n">
        <v>9992</v>
      </c>
      <c r="M148" s="9" t="n">
        <f aca="false">L148/I148</f>
        <v>0.409810515954393</v>
      </c>
      <c r="N148" s="8" t="n">
        <v>9980</v>
      </c>
      <c r="O148" s="2" t="n">
        <v>0.51</v>
      </c>
      <c r="P148" s="2" t="n">
        <v>0.29</v>
      </c>
      <c r="Q148" s="10" t="n">
        <f aca="false">L148/H148-1</f>
        <v>0.084672166739036</v>
      </c>
      <c r="R148" s="10" t="n">
        <f aca="false">ABS(Q148)</f>
        <v>0.084672166739036</v>
      </c>
      <c r="S148" s="2" t="s">
        <v>43</v>
      </c>
      <c r="T148" s="2" t="n">
        <v>0.33</v>
      </c>
      <c r="U148" s="2" t="n">
        <v>0.989</v>
      </c>
    </row>
    <row r="149" customFormat="false" ht="15" hidden="false" customHeight="false" outlineLevel="0" collapsed="false">
      <c r="A149" s="2" t="s">
        <v>157</v>
      </c>
      <c r="B149" s="2" t="s">
        <v>38</v>
      </c>
      <c r="C149" s="2" t="s">
        <v>39</v>
      </c>
      <c r="D149" s="2" t="s">
        <v>140</v>
      </c>
      <c r="E149" s="2" t="n">
        <v>27</v>
      </c>
      <c r="F149" s="2" t="s">
        <v>158</v>
      </c>
      <c r="G149" s="2" t="s">
        <v>159</v>
      </c>
      <c r="H149" s="8" t="n">
        <v>11732</v>
      </c>
      <c r="I149" s="8" t="n">
        <v>15612</v>
      </c>
      <c r="J149" s="9" t="n">
        <f aca="false">H149/I149</f>
        <v>0.751473225723802</v>
      </c>
      <c r="K149" s="10" t="n">
        <v>0.13</v>
      </c>
      <c r="L149" s="8" t="n">
        <v>6635</v>
      </c>
      <c r="M149" s="9" t="n">
        <f aca="false">L149/I149</f>
        <v>0.424993594670766</v>
      </c>
      <c r="N149" s="8" t="n">
        <v>6687</v>
      </c>
      <c r="O149" s="2" t="n">
        <v>0.55</v>
      </c>
      <c r="P149" s="2" t="n">
        <v>0.15</v>
      </c>
      <c r="Q149" s="10" t="n">
        <f aca="false">L149/H149-1</f>
        <v>-0.434452778724855</v>
      </c>
      <c r="R149" s="10" t="n">
        <f aca="false">ABS(Q149)</f>
        <v>0.434452778724855</v>
      </c>
      <c r="S149" s="2" t="s">
        <v>146</v>
      </c>
      <c r="T149" s="2" t="n">
        <v>0.25</v>
      </c>
      <c r="U149" s="2" t="n">
        <v>1.065</v>
      </c>
    </row>
    <row r="150" customFormat="false" ht="15" hidden="false" customHeight="false" outlineLevel="0" collapsed="false">
      <c r="A150" s="2" t="s">
        <v>157</v>
      </c>
      <c r="B150" s="2" t="s">
        <v>44</v>
      </c>
      <c r="C150" s="2" t="s">
        <v>39</v>
      </c>
      <c r="D150" s="2" t="s">
        <v>140</v>
      </c>
      <c r="E150" s="2" t="n">
        <v>25</v>
      </c>
      <c r="F150" s="2" t="s">
        <v>158</v>
      </c>
      <c r="G150" s="2" t="s">
        <v>159</v>
      </c>
      <c r="H150" s="8" t="n">
        <v>6800</v>
      </c>
      <c r="I150" s="8" t="n">
        <v>14450</v>
      </c>
      <c r="J150" s="9" t="n">
        <f aca="false">H150/I150</f>
        <v>0.470588235294118</v>
      </c>
      <c r="K150" s="10" t="n">
        <v>0.133</v>
      </c>
      <c r="L150" s="8" t="n">
        <v>6174</v>
      </c>
      <c r="M150" s="9" t="n">
        <f aca="false">L150/I150</f>
        <v>0.427266435986159</v>
      </c>
      <c r="N150" s="8" t="n">
        <v>6176</v>
      </c>
      <c r="O150" s="2" t="n">
        <v>0.55</v>
      </c>
      <c r="P150" s="2" t="n">
        <v>0.15</v>
      </c>
      <c r="Q150" s="10" t="n">
        <f aca="false">L150/H150-1</f>
        <v>-0.0920588235294118</v>
      </c>
      <c r="R150" s="10" t="n">
        <f aca="false">ABS(Q150)</f>
        <v>0.0920588235294118</v>
      </c>
      <c r="S150" s="2" t="s">
        <v>146</v>
      </c>
      <c r="T150" s="2" t="n">
        <v>0.25</v>
      </c>
      <c r="U150" s="2" t="n">
        <v>1.164</v>
      </c>
    </row>
    <row r="151" customFormat="false" ht="15" hidden="false" customHeight="false" outlineLevel="0" collapsed="false">
      <c r="A151" s="2" t="s">
        <v>157</v>
      </c>
      <c r="B151" s="2" t="s">
        <v>46</v>
      </c>
      <c r="C151" s="2" t="s">
        <v>39</v>
      </c>
      <c r="D151" s="2" t="s">
        <v>140</v>
      </c>
      <c r="E151" s="2" t="n">
        <v>31</v>
      </c>
      <c r="F151" s="2" t="s">
        <v>160</v>
      </c>
      <c r="G151" s="2" t="s">
        <v>161</v>
      </c>
      <c r="H151" s="8" t="n">
        <v>10333</v>
      </c>
      <c r="I151" s="8" t="n">
        <v>16762</v>
      </c>
      <c r="J151" s="9" t="n">
        <f aca="false">H151/I151</f>
        <v>0.616453883784751</v>
      </c>
      <c r="K151" s="10" t="n">
        <v>0.12</v>
      </c>
      <c r="L151" s="8" t="n">
        <v>7336</v>
      </c>
      <c r="M151" s="9" t="n">
        <f aca="false">L151/I151</f>
        <v>0.43765660422384</v>
      </c>
      <c r="N151" s="8" t="n">
        <v>7574</v>
      </c>
      <c r="O151" s="2" t="n">
        <v>0.55</v>
      </c>
      <c r="P151" s="2" t="n">
        <v>0.15</v>
      </c>
      <c r="Q151" s="10" t="n">
        <f aca="false">L151/H151-1</f>
        <v>-0.290041614245621</v>
      </c>
      <c r="R151" s="10" t="n">
        <f aca="false">ABS(Q151)</f>
        <v>0.290041614245621</v>
      </c>
      <c r="S151" s="2" t="s">
        <v>146</v>
      </c>
      <c r="T151" s="2" t="n">
        <v>0.23</v>
      </c>
      <c r="U151" s="2" t="n">
        <v>1.003</v>
      </c>
    </row>
    <row r="152" customFormat="false" ht="15" hidden="false" customHeight="false" outlineLevel="0" collapsed="false">
      <c r="A152" s="2" t="s">
        <v>157</v>
      </c>
      <c r="B152" s="2" t="s">
        <v>48</v>
      </c>
      <c r="C152" s="2" t="s">
        <v>39</v>
      </c>
      <c r="D152" s="2" t="s">
        <v>140</v>
      </c>
      <c r="E152" s="2" t="n">
        <v>30</v>
      </c>
      <c r="F152" s="2" t="s">
        <v>158</v>
      </c>
      <c r="G152" s="2" t="s">
        <v>161</v>
      </c>
      <c r="H152" s="8" t="n">
        <v>8224</v>
      </c>
      <c r="I152" s="8" t="n">
        <v>20663</v>
      </c>
      <c r="J152" s="9" t="n">
        <f aca="false">H152/I152</f>
        <v>0.398006097856071</v>
      </c>
      <c r="K152" s="10" t="n">
        <v>0.186</v>
      </c>
      <c r="L152" s="8" t="n">
        <v>8357</v>
      </c>
      <c r="M152" s="9" t="n">
        <f aca="false">L152/I152</f>
        <v>0.404442723709045</v>
      </c>
      <c r="N152" s="8" t="n">
        <v>8382</v>
      </c>
      <c r="O152" s="2" t="n">
        <v>0.55</v>
      </c>
      <c r="P152" s="2" t="n">
        <v>0.24</v>
      </c>
      <c r="Q152" s="10" t="n">
        <f aca="false">L152/H152-1</f>
        <v>0.0161721789883269</v>
      </c>
      <c r="R152" s="10" t="n">
        <f aca="false">ABS(Q152)</f>
        <v>0.0161721789883269</v>
      </c>
      <c r="S152" s="2" t="s">
        <v>146</v>
      </c>
      <c r="T152" s="2" t="n">
        <v>0.29</v>
      </c>
      <c r="U152" s="2" t="n">
        <v>1.085</v>
      </c>
    </row>
    <row r="153" customFormat="false" ht="15" hidden="false" customHeight="false" outlineLevel="0" collapsed="false">
      <c r="A153" s="2" t="s">
        <v>157</v>
      </c>
      <c r="B153" s="2" t="s">
        <v>50</v>
      </c>
      <c r="C153" s="2" t="s">
        <v>39</v>
      </c>
      <c r="D153" s="2" t="s">
        <v>140</v>
      </c>
      <c r="E153" s="2" t="n">
        <v>30</v>
      </c>
      <c r="F153" s="2" t="s">
        <v>158</v>
      </c>
      <c r="G153" s="2" t="s">
        <v>161</v>
      </c>
      <c r="H153" s="8" t="n">
        <v>8710</v>
      </c>
      <c r="I153" s="8" t="n">
        <v>20042</v>
      </c>
      <c r="J153" s="9" t="n">
        <f aca="false">H153/I153</f>
        <v>0.434587366530286</v>
      </c>
      <c r="K153" s="10" t="n">
        <v>0.21</v>
      </c>
      <c r="L153" s="8" t="n">
        <v>8134</v>
      </c>
      <c r="M153" s="9" t="n">
        <f aca="false">L153/I153</f>
        <v>0.405847719788444</v>
      </c>
      <c r="N153" s="8" t="n">
        <v>8150</v>
      </c>
      <c r="O153" s="2" t="n">
        <v>0.55</v>
      </c>
      <c r="P153" s="2" t="n">
        <v>0.24</v>
      </c>
      <c r="Q153" s="10" t="n">
        <f aca="false">L153/H153-1</f>
        <v>-0.0661308840413318</v>
      </c>
      <c r="R153" s="10" t="n">
        <f aca="false">ABS(Q153)</f>
        <v>0.0661308840413318</v>
      </c>
      <c r="S153" s="2" t="s">
        <v>146</v>
      </c>
      <c r="T153" s="2" t="n">
        <v>0.28</v>
      </c>
      <c r="U153" s="2" t="n">
        <v>1.005</v>
      </c>
    </row>
    <row r="154" customFormat="false" ht="15" hidden="false" customHeight="false" outlineLevel="0" collapsed="false">
      <c r="A154" s="2" t="s">
        <v>157</v>
      </c>
      <c r="B154" s="2" t="s">
        <v>53</v>
      </c>
      <c r="C154" s="2" t="s">
        <v>39</v>
      </c>
      <c r="D154" s="2" t="s">
        <v>140</v>
      </c>
      <c r="E154" s="2" t="n">
        <v>31</v>
      </c>
      <c r="F154" s="2" t="s">
        <v>158</v>
      </c>
      <c r="G154" s="2" t="s">
        <v>161</v>
      </c>
      <c r="H154" s="8" t="n">
        <v>11760</v>
      </c>
      <c r="I154" s="8" t="n">
        <v>27946</v>
      </c>
      <c r="J154" s="9" t="n">
        <f aca="false">H154/I154</f>
        <v>0.420811565161383</v>
      </c>
      <c r="K154" s="10" t="n">
        <v>0.14</v>
      </c>
      <c r="L154" s="8" t="n">
        <v>10498</v>
      </c>
      <c r="M154" s="9" t="n">
        <f aca="false">L154/I154</f>
        <v>0.37565304515852</v>
      </c>
      <c r="N154" s="8" t="n">
        <v>10621</v>
      </c>
      <c r="O154" s="2" t="n">
        <v>0.6</v>
      </c>
      <c r="P154" s="2" t="n">
        <v>0.31</v>
      </c>
      <c r="Q154" s="10" t="n">
        <f aca="false">L154/H154-1</f>
        <v>-0.107312925170068</v>
      </c>
      <c r="R154" s="10" t="n">
        <f aca="false">ABS(Q154)</f>
        <v>0.107312925170068</v>
      </c>
      <c r="S154" s="2" t="s">
        <v>43</v>
      </c>
      <c r="T154" s="2" t="n">
        <v>0.37</v>
      </c>
      <c r="U154" s="2" t="n">
        <v>0.995</v>
      </c>
    </row>
    <row r="155" customFormat="false" ht="15" hidden="false" customHeight="false" outlineLevel="0" collapsed="false">
      <c r="A155" s="2" t="s">
        <v>157</v>
      </c>
      <c r="B155" s="2" t="s">
        <v>54</v>
      </c>
      <c r="C155" s="2" t="s">
        <v>39</v>
      </c>
      <c r="D155" s="2" t="s">
        <v>140</v>
      </c>
      <c r="E155" s="2" t="n">
        <v>30</v>
      </c>
      <c r="F155" s="2" t="s">
        <v>158</v>
      </c>
      <c r="G155" s="2" t="s">
        <v>161</v>
      </c>
      <c r="H155" s="8" t="n">
        <v>10440</v>
      </c>
      <c r="I155" s="8" t="n">
        <v>25164</v>
      </c>
      <c r="J155" s="9" t="n">
        <f aca="false">H155/I155</f>
        <v>0.414878397711016</v>
      </c>
      <c r="K155" s="10" t="n">
        <v>0.147</v>
      </c>
      <c r="L155" s="8" t="n">
        <v>9600</v>
      </c>
      <c r="M155" s="9" t="n">
        <f aca="false">L155/I155</f>
        <v>0.381497377205532</v>
      </c>
      <c r="N155" s="8" t="n">
        <v>9671</v>
      </c>
      <c r="O155" s="2" t="n">
        <v>0.6</v>
      </c>
      <c r="P155" s="2" t="n">
        <v>0.31</v>
      </c>
      <c r="Q155" s="10" t="n">
        <f aca="false">L155/H155-1</f>
        <v>-0.0804597701149425</v>
      </c>
      <c r="R155" s="10" t="n">
        <f aca="false">ABS(Q155)</f>
        <v>0.0804597701149425</v>
      </c>
      <c r="S155" s="2" t="s">
        <v>43</v>
      </c>
      <c r="T155" s="2" t="n">
        <v>0.35</v>
      </c>
      <c r="U155" s="2" t="n">
        <v>1.031</v>
      </c>
    </row>
    <row r="156" customFormat="false" ht="15" hidden="false" customHeight="false" outlineLevel="0" collapsed="false">
      <c r="A156" s="2" t="s">
        <v>157</v>
      </c>
      <c r="B156" s="2" t="s">
        <v>57</v>
      </c>
      <c r="C156" s="2" t="s">
        <v>39</v>
      </c>
      <c r="D156" s="2" t="s">
        <v>140</v>
      </c>
      <c r="E156" s="2" t="n">
        <v>31</v>
      </c>
      <c r="F156" s="2" t="s">
        <v>158</v>
      </c>
      <c r="G156" s="2" t="s">
        <v>161</v>
      </c>
      <c r="H156" s="8" t="n">
        <v>9338</v>
      </c>
      <c r="I156" s="8" t="n">
        <v>21450</v>
      </c>
      <c r="J156" s="9" t="n">
        <f aca="false">H156/I156</f>
        <v>0.435337995337995</v>
      </c>
      <c r="K156" s="10" t="n">
        <v>0.231</v>
      </c>
      <c r="L156" s="8" t="n">
        <v>8567</v>
      </c>
      <c r="M156" s="9" t="n">
        <f aca="false">L156/I156</f>
        <v>0.399393939393939</v>
      </c>
      <c r="N156" s="8" t="n">
        <v>8588</v>
      </c>
      <c r="O156" s="2" t="n">
        <v>0.55</v>
      </c>
      <c r="P156" s="2" t="n">
        <v>0.24</v>
      </c>
      <c r="Q156" s="10" t="n">
        <f aca="false">L156/H156-1</f>
        <v>-0.0825658599271792</v>
      </c>
      <c r="R156" s="10" t="n">
        <f aca="false">ABS(Q156)</f>
        <v>0.0825658599271792</v>
      </c>
      <c r="S156" s="2" t="s">
        <v>146</v>
      </c>
      <c r="T156" s="2" t="n">
        <v>0.3</v>
      </c>
      <c r="U156" s="2" t="n">
        <v>0.997</v>
      </c>
    </row>
    <row r="157" customFormat="false" ht="15" hidden="false" customHeight="false" outlineLevel="0" collapsed="false">
      <c r="A157" s="2" t="s">
        <v>157</v>
      </c>
      <c r="B157" s="2" t="s">
        <v>58</v>
      </c>
      <c r="C157" s="2" t="s">
        <v>39</v>
      </c>
      <c r="D157" s="2" t="s">
        <v>140</v>
      </c>
      <c r="E157" s="2" t="n">
        <v>30</v>
      </c>
      <c r="F157" s="2" t="s">
        <v>158</v>
      </c>
      <c r="G157" s="2" t="s">
        <v>161</v>
      </c>
      <c r="H157" s="8" t="n">
        <v>8812</v>
      </c>
      <c r="I157" s="8" t="n">
        <v>20394</v>
      </c>
      <c r="J157" s="9" t="n">
        <f aca="false">H157/I157</f>
        <v>0.432087868981073</v>
      </c>
      <c r="K157" s="10" t="n">
        <v>0.226</v>
      </c>
      <c r="L157" s="8" t="n">
        <v>8237</v>
      </c>
      <c r="M157" s="9" t="n">
        <f aca="false">L157/I157</f>
        <v>0.403893301951554</v>
      </c>
      <c r="N157" s="8" t="n">
        <v>8234</v>
      </c>
      <c r="O157" s="2" t="n">
        <v>0.55</v>
      </c>
      <c r="P157" s="2" t="n">
        <v>0.24</v>
      </c>
      <c r="Q157" s="10" t="n">
        <f aca="false">L157/H157-1</f>
        <v>-0.0652519291874716</v>
      </c>
      <c r="R157" s="10" t="n">
        <f aca="false">ABS(Q157)</f>
        <v>0.0652519291874716</v>
      </c>
      <c r="S157" s="2" t="s">
        <v>146</v>
      </c>
      <c r="T157" s="2" t="n">
        <v>0.29</v>
      </c>
      <c r="U157" s="2" t="n">
        <v>1.035</v>
      </c>
    </row>
    <row r="158" customFormat="false" ht="15" hidden="false" customHeight="false" outlineLevel="0" collapsed="false">
      <c r="A158" s="2" t="s">
        <v>157</v>
      </c>
      <c r="B158" s="2" t="s">
        <v>59</v>
      </c>
      <c r="C158" s="2" t="s">
        <v>39</v>
      </c>
      <c r="D158" s="2" t="s">
        <v>140</v>
      </c>
      <c r="E158" s="2" t="n">
        <v>31</v>
      </c>
      <c r="F158" s="2" t="s">
        <v>158</v>
      </c>
      <c r="G158" s="2" t="s">
        <v>161</v>
      </c>
      <c r="H158" s="8" t="n">
        <v>7325</v>
      </c>
      <c r="I158" s="8" t="n">
        <v>16577</v>
      </c>
      <c r="J158" s="9" t="n">
        <f aca="false">H158/I158</f>
        <v>0.441877299873319</v>
      </c>
      <c r="K158" s="10" t="n">
        <v>0.187</v>
      </c>
      <c r="L158" s="8" t="n">
        <v>7372</v>
      </c>
      <c r="M158" s="9" t="n">
        <f aca="false">L158/I158</f>
        <v>0.444712553538035</v>
      </c>
      <c r="N158" s="8" t="n">
        <v>7374</v>
      </c>
      <c r="O158" s="2" t="n">
        <v>0.55</v>
      </c>
      <c r="P158" s="2" t="n">
        <v>0.24</v>
      </c>
      <c r="Q158" s="10" t="n">
        <f aca="false">L158/H158-1</f>
        <v>0.00641638225255981</v>
      </c>
      <c r="R158" s="10" t="n">
        <f aca="false">ABS(Q158)</f>
        <v>0.00641638225255981</v>
      </c>
      <c r="S158" s="2" t="s">
        <v>146</v>
      </c>
      <c r="T158" s="2" t="n">
        <v>0.22</v>
      </c>
      <c r="U158" s="2" t="n">
        <v>1.059</v>
      </c>
    </row>
    <row r="159" customFormat="false" ht="15" hidden="false" customHeight="false" outlineLevel="0" collapsed="false">
      <c r="A159" s="2" t="s">
        <v>157</v>
      </c>
      <c r="B159" s="2" t="s">
        <v>60</v>
      </c>
      <c r="C159" s="2" t="s">
        <v>39</v>
      </c>
      <c r="D159" s="2" t="s">
        <v>140</v>
      </c>
      <c r="E159" s="2" t="n">
        <v>31</v>
      </c>
      <c r="F159" s="2" t="s">
        <v>158</v>
      </c>
      <c r="G159" s="2" t="s">
        <v>161</v>
      </c>
      <c r="H159" s="8" t="n">
        <v>7285</v>
      </c>
      <c r="I159" s="8" t="n">
        <v>15226</v>
      </c>
      <c r="J159" s="9" t="n">
        <f aca="false">H159/I159</f>
        <v>0.478457900958886</v>
      </c>
      <c r="K159" s="10" t="n">
        <v>0.252</v>
      </c>
      <c r="L159" s="8" t="n">
        <v>7003</v>
      </c>
      <c r="M159" s="9" t="n">
        <f aca="false">L159/I159</f>
        <v>0.459936949954026</v>
      </c>
      <c r="N159" s="8" t="n">
        <v>7022</v>
      </c>
      <c r="O159" s="2" t="n">
        <v>0.45</v>
      </c>
      <c r="P159" s="2" t="n">
        <v>0.24</v>
      </c>
      <c r="Q159" s="10" t="n">
        <f aca="false">L159/H159-1</f>
        <v>-0.0387096774193548</v>
      </c>
      <c r="R159" s="10" t="n">
        <f aca="false">ABS(Q159)</f>
        <v>0.0387096774193548</v>
      </c>
      <c r="S159" s="2" t="s">
        <v>43</v>
      </c>
      <c r="T159" s="2" t="n">
        <v>0.21</v>
      </c>
      <c r="U159" s="2" t="n">
        <v>1.018</v>
      </c>
    </row>
    <row r="160" customFormat="false" ht="15" hidden="false" customHeight="false" outlineLevel="0" collapsed="false">
      <c r="A160" s="2" t="s">
        <v>157</v>
      </c>
      <c r="B160" s="2" t="s">
        <v>61</v>
      </c>
      <c r="C160" s="2" t="s">
        <v>39</v>
      </c>
      <c r="D160" s="2" t="s">
        <v>140</v>
      </c>
      <c r="E160" s="2" t="n">
        <v>28</v>
      </c>
      <c r="F160" s="2" t="s">
        <v>158</v>
      </c>
      <c r="G160" s="2" t="s">
        <v>161</v>
      </c>
      <c r="H160" s="8" t="n">
        <v>6187</v>
      </c>
      <c r="I160" s="8" t="n">
        <v>12952</v>
      </c>
      <c r="J160" s="9" t="n">
        <f aca="false">H160/I160</f>
        <v>0.477686843730698</v>
      </c>
      <c r="K160" s="10" t="n">
        <v>0.28</v>
      </c>
      <c r="L160" s="8" t="n">
        <v>6122</v>
      </c>
      <c r="M160" s="9" t="n">
        <f aca="false">L160/I160</f>
        <v>0.472668313773935</v>
      </c>
      <c r="N160" s="8" t="n">
        <v>6124</v>
      </c>
      <c r="O160" s="2" t="n">
        <v>0.45</v>
      </c>
      <c r="P160" s="2" t="n">
        <v>0.24</v>
      </c>
      <c r="Q160" s="10" t="n">
        <f aca="false">L160/H160-1</f>
        <v>-0.0105058994666236</v>
      </c>
      <c r="R160" s="10" t="n">
        <f aca="false">ABS(Q160)</f>
        <v>0.0105058994666236</v>
      </c>
      <c r="S160" s="2" t="s">
        <v>43</v>
      </c>
      <c r="T160" s="2" t="n">
        <v>0.19</v>
      </c>
      <c r="U160" s="2" t="n">
        <v>0.976</v>
      </c>
    </row>
    <row r="161" customFormat="false" ht="15" hidden="false" customHeight="false" outlineLevel="0" collapsed="false">
      <c r="A161" s="2" t="s">
        <v>157</v>
      </c>
      <c r="B161" s="2" t="s">
        <v>62</v>
      </c>
      <c r="C161" s="2" t="s">
        <v>39</v>
      </c>
      <c r="D161" s="2" t="s">
        <v>140</v>
      </c>
      <c r="E161" s="2" t="n">
        <v>31</v>
      </c>
      <c r="F161" s="2" t="s">
        <v>158</v>
      </c>
      <c r="G161" s="2" t="s">
        <v>161</v>
      </c>
      <c r="H161" s="8" t="n">
        <v>5646</v>
      </c>
      <c r="I161" s="8" t="n">
        <v>14766</v>
      </c>
      <c r="J161" s="9" t="n">
        <f aca="false">H161/I161</f>
        <v>0.382364892320195</v>
      </c>
      <c r="K161" s="10" t="n">
        <v>0.237</v>
      </c>
      <c r="L161" s="8" t="n">
        <v>6781</v>
      </c>
      <c r="M161" s="9" t="n">
        <f aca="false">L161/I161</f>
        <v>0.459230665041311</v>
      </c>
      <c r="N161" s="8" t="n">
        <v>6798</v>
      </c>
      <c r="O161" s="2" t="n">
        <v>0.45</v>
      </c>
      <c r="P161" s="2" t="n">
        <v>0.24</v>
      </c>
      <c r="Q161" s="10" t="n">
        <f aca="false">L161/H161-1</f>
        <v>0.201027275947574</v>
      </c>
      <c r="R161" s="10" t="n">
        <f aca="false">ABS(Q161)</f>
        <v>0.201027275947574</v>
      </c>
      <c r="S161" s="2" t="s">
        <v>43</v>
      </c>
      <c r="T161" s="2" t="n">
        <v>0.21</v>
      </c>
      <c r="U161" s="2" t="n">
        <v>1.004</v>
      </c>
    </row>
    <row r="162" customFormat="false" ht="15" hidden="false" customHeight="false" outlineLevel="0" collapsed="false">
      <c r="A162" s="2" t="s">
        <v>157</v>
      </c>
      <c r="B162" s="2" t="s">
        <v>63</v>
      </c>
      <c r="C162" s="2" t="s">
        <v>39</v>
      </c>
      <c r="D162" s="2" t="s">
        <v>140</v>
      </c>
      <c r="E162" s="2" t="n">
        <v>30</v>
      </c>
      <c r="F162" s="2" t="s">
        <v>158</v>
      </c>
      <c r="G162" s="2" t="s">
        <v>161</v>
      </c>
      <c r="H162" s="8" t="n">
        <v>8970</v>
      </c>
      <c r="I162" s="8" t="n">
        <v>18926</v>
      </c>
      <c r="J162" s="9" t="n">
        <f aca="false">H162/I162</f>
        <v>0.473951178273275</v>
      </c>
      <c r="K162" s="10" t="n">
        <v>0.284</v>
      </c>
      <c r="L162" s="8" t="n">
        <v>7941</v>
      </c>
      <c r="M162" s="9" t="n">
        <f aca="false">L162/I162</f>
        <v>0.419581528056642</v>
      </c>
      <c r="N162" s="8" t="n">
        <v>7905</v>
      </c>
      <c r="O162" s="2" t="n">
        <v>0.45</v>
      </c>
      <c r="P162" s="2" t="n">
        <v>0.21</v>
      </c>
      <c r="Q162" s="10" t="n">
        <f aca="false">L162/H162-1</f>
        <v>-0.114715719063545</v>
      </c>
      <c r="R162" s="10" t="n">
        <f aca="false">ABS(Q162)</f>
        <v>0.114715719063545</v>
      </c>
      <c r="S162" s="2" t="s">
        <v>43</v>
      </c>
      <c r="T162" s="2" t="n">
        <v>0.26</v>
      </c>
      <c r="U162" s="2" t="n">
        <v>0.982</v>
      </c>
    </row>
    <row r="163" customFormat="false" ht="15" hidden="false" customHeight="false" outlineLevel="0" collapsed="false">
      <c r="A163" s="2" t="s">
        <v>157</v>
      </c>
      <c r="B163" s="2" t="s">
        <v>66</v>
      </c>
      <c r="C163" s="2" t="s">
        <v>39</v>
      </c>
      <c r="D163" s="2" t="s">
        <v>140</v>
      </c>
      <c r="E163" s="2" t="n">
        <v>31</v>
      </c>
      <c r="F163" s="2" t="s">
        <v>158</v>
      </c>
      <c r="G163" s="2" t="s">
        <v>161</v>
      </c>
      <c r="H163" s="8" t="n">
        <v>8464</v>
      </c>
      <c r="I163" s="8" t="n">
        <v>21365</v>
      </c>
      <c r="J163" s="9" t="n">
        <f aca="false">H163/I163</f>
        <v>0.396161947109759</v>
      </c>
      <c r="K163" s="10" t="n">
        <v>0.308</v>
      </c>
      <c r="L163" s="8" t="n">
        <v>8632</v>
      </c>
      <c r="M163" s="9" t="n">
        <f aca="false">L163/I163</f>
        <v>0.404025274982448</v>
      </c>
      <c r="N163" s="8" t="n">
        <v>8635</v>
      </c>
      <c r="O163" s="2" t="n">
        <v>0.59</v>
      </c>
      <c r="P163" s="2" t="n">
        <v>0.3</v>
      </c>
      <c r="Q163" s="10" t="n">
        <f aca="false">L163/H163-1</f>
        <v>0.0198487712665407</v>
      </c>
      <c r="R163" s="10" t="n">
        <f aca="false">ABS(Q163)</f>
        <v>0.0198487712665407</v>
      </c>
      <c r="S163" s="2" t="s">
        <v>43</v>
      </c>
      <c r="T163" s="2" t="n">
        <v>0.29</v>
      </c>
      <c r="U163" s="2" t="n">
        <v>0.952</v>
      </c>
    </row>
    <row r="164" customFormat="false" ht="15" hidden="false" customHeight="false" outlineLevel="0" collapsed="false">
      <c r="A164" s="2" t="s">
        <v>157</v>
      </c>
      <c r="B164" s="2" t="s">
        <v>67</v>
      </c>
      <c r="C164" s="2" t="s">
        <v>39</v>
      </c>
      <c r="D164" s="2" t="s">
        <v>140</v>
      </c>
      <c r="E164" s="2" t="n">
        <v>31</v>
      </c>
      <c r="F164" s="2" t="s">
        <v>158</v>
      </c>
      <c r="G164" s="2" t="s">
        <v>161</v>
      </c>
      <c r="H164" s="8" t="n">
        <v>11127</v>
      </c>
      <c r="I164" s="8" t="n">
        <v>25413</v>
      </c>
      <c r="J164" s="9" t="n">
        <f aca="false">H164/I164</f>
        <v>0.437846771337504</v>
      </c>
      <c r="K164" s="10" t="n">
        <v>0.275</v>
      </c>
      <c r="L164" s="8" t="n">
        <v>9747</v>
      </c>
      <c r="M164" s="9" t="n">
        <f aca="false">L164/I164</f>
        <v>0.383543855507024</v>
      </c>
      <c r="N164" s="8" t="n">
        <v>9775</v>
      </c>
      <c r="O164" s="2" t="n">
        <v>0.59</v>
      </c>
      <c r="P164" s="2" t="n">
        <v>0.3</v>
      </c>
      <c r="Q164" s="10" t="n">
        <f aca="false">L164/H164-1</f>
        <v>-0.124022647613912</v>
      </c>
      <c r="R164" s="10" t="n">
        <f aca="false">ABS(Q164)</f>
        <v>0.124022647613912</v>
      </c>
      <c r="S164" s="2" t="s">
        <v>43</v>
      </c>
      <c r="T164" s="2" t="n">
        <v>0.34</v>
      </c>
      <c r="U164" s="2" t="n">
        <v>1.01</v>
      </c>
    </row>
    <row r="165" customFormat="false" ht="15" hidden="false" customHeight="false" outlineLevel="0" collapsed="false">
      <c r="A165" s="2" t="s">
        <v>157</v>
      </c>
      <c r="B165" s="2" t="s">
        <v>68</v>
      </c>
      <c r="C165" s="2" t="s">
        <v>39</v>
      </c>
      <c r="D165" s="2" t="s">
        <v>140</v>
      </c>
      <c r="E165" s="2" t="n">
        <v>30</v>
      </c>
      <c r="F165" s="2" t="s">
        <v>158</v>
      </c>
      <c r="G165" s="2" t="s">
        <v>161</v>
      </c>
      <c r="H165" s="8" t="n">
        <v>11352</v>
      </c>
      <c r="I165" s="8" t="n">
        <v>26044</v>
      </c>
      <c r="J165" s="9" t="n">
        <f aca="false">H165/I165</f>
        <v>0.435877745354016</v>
      </c>
      <c r="K165" s="10" t="n">
        <v>0.221</v>
      </c>
      <c r="L165" s="8" t="n">
        <v>9831</v>
      </c>
      <c r="M165" s="9" t="n">
        <f aca="false">L165/I165</f>
        <v>0.377476578098602</v>
      </c>
      <c r="N165" s="8" t="n">
        <v>9887</v>
      </c>
      <c r="O165" s="2" t="n">
        <v>0.59</v>
      </c>
      <c r="P165" s="2" t="n">
        <v>0.3</v>
      </c>
      <c r="Q165" s="10" t="n">
        <f aca="false">L165/H165-1</f>
        <v>-0.133985200845666</v>
      </c>
      <c r="R165" s="10" t="n">
        <f aca="false">ABS(Q165)</f>
        <v>0.133985200845666</v>
      </c>
      <c r="S165" s="2" t="s">
        <v>43</v>
      </c>
      <c r="T165" s="2" t="n">
        <v>0.36</v>
      </c>
      <c r="U165" s="2" t="n">
        <v>0.986</v>
      </c>
    </row>
    <row r="166" customFormat="false" ht="15" hidden="false" customHeight="false" outlineLevel="0" collapsed="false">
      <c r="A166" s="2" t="s">
        <v>162</v>
      </c>
      <c r="B166" s="2" t="s">
        <v>76</v>
      </c>
      <c r="C166" s="2" t="s">
        <v>39</v>
      </c>
      <c r="D166" s="2" t="s">
        <v>40</v>
      </c>
      <c r="E166" s="2" t="n">
        <v>31</v>
      </c>
      <c r="F166" s="2" t="s">
        <v>163</v>
      </c>
      <c r="G166" s="2" t="s">
        <v>164</v>
      </c>
      <c r="H166" s="8" t="n">
        <v>241841</v>
      </c>
      <c r="I166" s="8" t="n">
        <v>656539</v>
      </c>
      <c r="J166" s="9" t="n">
        <f aca="false">H166/I166</f>
        <v>0.368357401464346</v>
      </c>
      <c r="K166" s="10" t="n">
        <v>0</v>
      </c>
      <c r="L166" s="8" t="n">
        <v>206844</v>
      </c>
      <c r="M166" s="9" t="n">
        <f aca="false">L166/I166</f>
        <v>0.315052114192759</v>
      </c>
      <c r="N166" s="8" t="n">
        <v>207243</v>
      </c>
      <c r="O166" s="2" t="n">
        <v>0.61</v>
      </c>
      <c r="P166" s="2" t="n">
        <v>0.41</v>
      </c>
      <c r="Q166" s="10" t="n">
        <f aca="false">L166/H166-1</f>
        <v>-0.14471078105036</v>
      </c>
      <c r="R166" s="10" t="n">
        <f aca="false">ABS(Q166)</f>
        <v>0.14471078105036</v>
      </c>
      <c r="S166" s="2" t="s">
        <v>43</v>
      </c>
      <c r="T166" s="2" t="n">
        <v>0.45</v>
      </c>
      <c r="U166" s="2" t="n">
        <v>0.969</v>
      </c>
    </row>
    <row r="167" customFormat="false" ht="15" hidden="false" customHeight="false" outlineLevel="0" collapsed="false">
      <c r="A167" s="2" t="s">
        <v>162</v>
      </c>
      <c r="B167" s="2" t="s">
        <v>50</v>
      </c>
      <c r="C167" s="2" t="s">
        <v>39</v>
      </c>
      <c r="D167" s="2" t="s">
        <v>40</v>
      </c>
      <c r="E167" s="2" t="n">
        <v>30</v>
      </c>
      <c r="F167" s="2" t="s">
        <v>165</v>
      </c>
      <c r="G167" s="2" t="s">
        <v>164</v>
      </c>
      <c r="H167" s="8" t="n">
        <v>232117</v>
      </c>
      <c r="I167" s="8" t="n">
        <v>686189</v>
      </c>
      <c r="J167" s="9" t="n">
        <f aca="false">H167/I167</f>
        <v>0.338269776985641</v>
      </c>
      <c r="K167" s="10" t="n">
        <v>0</v>
      </c>
      <c r="L167" s="8" t="n">
        <v>214192</v>
      </c>
      <c r="M167" s="9" t="n">
        <f aca="false">L167/I167</f>
        <v>0.312147236402799</v>
      </c>
      <c r="N167" s="8" t="n">
        <v>216119</v>
      </c>
      <c r="O167" s="2" t="n">
        <v>0.61</v>
      </c>
      <c r="P167" s="2" t="n">
        <v>0.41</v>
      </c>
      <c r="Q167" s="10" t="n">
        <f aca="false">L167/H167-1</f>
        <v>-0.0772239861793836</v>
      </c>
      <c r="R167" s="10" t="n">
        <f aca="false">ABS(Q167)</f>
        <v>0.0772239861793836</v>
      </c>
      <c r="S167" s="2" t="s">
        <v>43</v>
      </c>
      <c r="T167" s="2" t="n">
        <v>0.48</v>
      </c>
      <c r="U167" s="2" t="n">
        <v>0.973</v>
      </c>
    </row>
    <row r="168" customFormat="false" ht="15" hidden="false" customHeight="false" outlineLevel="0" collapsed="false">
      <c r="A168" s="2" t="s">
        <v>162</v>
      </c>
      <c r="B168" s="2" t="s">
        <v>54</v>
      </c>
      <c r="C168" s="2" t="s">
        <v>39</v>
      </c>
      <c r="D168" s="2" t="s">
        <v>40</v>
      </c>
      <c r="E168" s="2" t="n">
        <v>30</v>
      </c>
      <c r="F168" s="2" t="s">
        <v>163</v>
      </c>
      <c r="G168" s="2" t="s">
        <v>164</v>
      </c>
      <c r="H168" s="8" t="n">
        <v>219144</v>
      </c>
      <c r="I168" s="8" t="n">
        <v>625440</v>
      </c>
      <c r="J168" s="9" t="n">
        <f aca="false">H168/I168</f>
        <v>0.350383729854183</v>
      </c>
      <c r="K168" s="10" t="n">
        <v>0.191</v>
      </c>
      <c r="L168" s="8" t="n">
        <v>195471</v>
      </c>
      <c r="M168" s="9" t="n">
        <f aca="false">L168/I168</f>
        <v>0.312533576362241</v>
      </c>
      <c r="N168" s="8" t="n">
        <v>197003</v>
      </c>
      <c r="O168" s="2" t="n">
        <v>0.67</v>
      </c>
      <c r="P168" s="2" t="n">
        <v>0.4</v>
      </c>
      <c r="Q168" s="10" t="n">
        <f aca="false">L168/H168-1</f>
        <v>-0.108024860365787</v>
      </c>
      <c r="R168" s="10" t="n">
        <f aca="false">ABS(Q168)</f>
        <v>0.108024860365787</v>
      </c>
      <c r="S168" s="2" t="s">
        <v>43</v>
      </c>
      <c r="T168" s="2" t="n">
        <v>0.49</v>
      </c>
      <c r="U168" s="2" t="n">
        <v>0.939</v>
      </c>
    </row>
    <row r="169" customFormat="false" ht="15" hidden="false" customHeight="false" outlineLevel="0" collapsed="false">
      <c r="A169" s="2" t="s">
        <v>162</v>
      </c>
      <c r="B169" s="2" t="s">
        <v>57</v>
      </c>
      <c r="C169" s="2" t="s">
        <v>39</v>
      </c>
      <c r="D169" s="2" t="s">
        <v>40</v>
      </c>
      <c r="E169" s="2" t="n">
        <v>31</v>
      </c>
      <c r="F169" s="2" t="s">
        <v>163</v>
      </c>
      <c r="G169" s="2" t="s">
        <v>164</v>
      </c>
      <c r="H169" s="8" t="n">
        <v>168662</v>
      </c>
      <c r="I169" s="8" t="n">
        <v>509359</v>
      </c>
      <c r="J169" s="9" t="n">
        <f aca="false">H169/I169</f>
        <v>0.331125983834584</v>
      </c>
      <c r="K169" s="10" t="n">
        <v>0.21</v>
      </c>
      <c r="L169" s="8" t="n">
        <v>160084</v>
      </c>
      <c r="M169" s="9" t="n">
        <f aca="false">L169/I169</f>
        <v>0.314285209449524</v>
      </c>
      <c r="N169" s="8" t="n">
        <v>161483</v>
      </c>
      <c r="O169" s="2" t="n">
        <v>0.74</v>
      </c>
      <c r="P169" s="2" t="n">
        <v>0.38</v>
      </c>
      <c r="Q169" s="10" t="n">
        <f aca="false">L169/H169-1</f>
        <v>-0.0508591146790622</v>
      </c>
      <c r="R169" s="10" t="n">
        <f aca="false">ABS(Q169)</f>
        <v>0.0508591146790622</v>
      </c>
      <c r="S169" s="2" t="s">
        <v>43</v>
      </c>
      <c r="T169" s="2" t="n">
        <v>0.47</v>
      </c>
      <c r="U169" s="2" t="n">
        <v>0.93</v>
      </c>
    </row>
    <row r="170" customFormat="false" ht="15" hidden="false" customHeight="false" outlineLevel="0" collapsed="false">
      <c r="A170" s="2" t="s">
        <v>162</v>
      </c>
      <c r="B170" s="2" t="s">
        <v>58</v>
      </c>
      <c r="C170" s="2" t="s">
        <v>39</v>
      </c>
      <c r="D170" s="2" t="s">
        <v>40</v>
      </c>
      <c r="E170" s="2" t="n">
        <v>30</v>
      </c>
      <c r="F170" s="2" t="s">
        <v>163</v>
      </c>
      <c r="G170" s="2" t="s">
        <v>164</v>
      </c>
      <c r="H170" s="8" t="n">
        <v>150989</v>
      </c>
      <c r="I170" s="8" t="n">
        <v>466397</v>
      </c>
      <c r="J170" s="9" t="n">
        <f aca="false">H170/I170</f>
        <v>0.323734929684368</v>
      </c>
      <c r="K170" s="10" t="n">
        <v>0.2</v>
      </c>
      <c r="L170" s="8" t="n">
        <v>147587</v>
      </c>
      <c r="M170" s="9" t="n">
        <f aca="false">L170/I170</f>
        <v>0.31644071467012</v>
      </c>
      <c r="N170" s="8" t="n">
        <v>148935</v>
      </c>
      <c r="O170" s="2" t="n">
        <v>0.74</v>
      </c>
      <c r="P170" s="2" t="n">
        <v>0.38</v>
      </c>
      <c r="Q170" s="10" t="n">
        <f aca="false">L170/H170-1</f>
        <v>-0.0225314426878779</v>
      </c>
      <c r="R170" s="10" t="n">
        <f aca="false">ABS(Q170)</f>
        <v>0.0225314426878779</v>
      </c>
      <c r="S170" s="2" t="s">
        <v>43</v>
      </c>
      <c r="T170" s="2" t="n">
        <v>0.46</v>
      </c>
      <c r="U170" s="2" t="n">
        <v>0.944</v>
      </c>
    </row>
    <row r="171" customFormat="false" ht="15" hidden="false" customHeight="false" outlineLevel="0" collapsed="false">
      <c r="A171" s="2" t="s">
        <v>162</v>
      </c>
      <c r="B171" s="2" t="s">
        <v>59</v>
      </c>
      <c r="C171" s="2" t="s">
        <v>39</v>
      </c>
      <c r="D171" s="2" t="s">
        <v>40</v>
      </c>
      <c r="E171" s="2" t="n">
        <v>31</v>
      </c>
      <c r="F171" s="2" t="s">
        <v>163</v>
      </c>
      <c r="G171" s="2" t="s">
        <v>164</v>
      </c>
      <c r="H171" s="8" t="n">
        <v>125344</v>
      </c>
      <c r="I171" s="8" t="n">
        <v>376529</v>
      </c>
      <c r="J171" s="9" t="n">
        <f aca="false">H171/I171</f>
        <v>0.332893349516239</v>
      </c>
      <c r="K171" s="10" t="n">
        <v>0.203</v>
      </c>
      <c r="L171" s="8" t="n">
        <v>119941</v>
      </c>
      <c r="M171" s="9" t="n">
        <f aca="false">L171/I171</f>
        <v>0.31854385717966</v>
      </c>
      <c r="N171" s="8" t="n">
        <v>122522</v>
      </c>
      <c r="O171" s="2" t="n">
        <v>0.74</v>
      </c>
      <c r="P171" s="2" t="n">
        <v>0.38</v>
      </c>
      <c r="Q171" s="10" t="n">
        <f aca="false">L171/H171-1</f>
        <v>-0.0431053740107225</v>
      </c>
      <c r="R171" s="10" t="n">
        <f aca="false">ABS(Q171)</f>
        <v>0.0431053740107225</v>
      </c>
      <c r="S171" s="2" t="s">
        <v>43</v>
      </c>
      <c r="T171" s="2" t="n">
        <v>0.46</v>
      </c>
      <c r="U171" s="2" t="n">
        <v>0.895</v>
      </c>
    </row>
    <row r="172" customFormat="false" ht="15" hidden="false" customHeight="false" outlineLevel="0" collapsed="false">
      <c r="A172" s="2" t="s">
        <v>162</v>
      </c>
      <c r="B172" s="2" t="s">
        <v>60</v>
      </c>
      <c r="C172" s="2" t="s">
        <v>39</v>
      </c>
      <c r="D172" s="2" t="s">
        <v>40</v>
      </c>
      <c r="E172" s="2" t="n">
        <v>31</v>
      </c>
      <c r="F172" s="2" t="s">
        <v>166</v>
      </c>
      <c r="G172" s="2" t="s">
        <v>164</v>
      </c>
      <c r="H172" s="8" t="n">
        <v>119816</v>
      </c>
      <c r="I172" s="8" t="n">
        <v>366010</v>
      </c>
      <c r="J172" s="9" t="n">
        <f aca="false">H172/I172</f>
        <v>0.327357176033442</v>
      </c>
      <c r="K172" s="10" t="n">
        <v>0.212</v>
      </c>
      <c r="L172" s="8" t="n">
        <v>117043</v>
      </c>
      <c r="M172" s="9" t="n">
        <f aca="false">L172/I172</f>
        <v>0.319780880303817</v>
      </c>
      <c r="N172" s="8" t="n">
        <v>118307</v>
      </c>
      <c r="O172" s="2" t="n">
        <v>0.76</v>
      </c>
      <c r="P172" s="2" t="n">
        <v>0.38</v>
      </c>
      <c r="Q172" s="10" t="n">
        <f aca="false">L172/H172-1</f>
        <v>-0.0231438205248047</v>
      </c>
      <c r="R172" s="10" t="n">
        <f aca="false">ABS(Q172)</f>
        <v>0.0231438205248047</v>
      </c>
      <c r="S172" s="2" t="s">
        <v>43</v>
      </c>
      <c r="T172" s="2" t="n">
        <v>0.46</v>
      </c>
      <c r="U172" s="2" t="n">
        <v>0.921</v>
      </c>
    </row>
    <row r="173" customFormat="false" ht="15" hidden="false" customHeight="false" outlineLevel="0" collapsed="false">
      <c r="A173" s="2" t="s">
        <v>162</v>
      </c>
      <c r="B173" s="2" t="s">
        <v>61</v>
      </c>
      <c r="C173" s="2" t="s">
        <v>39</v>
      </c>
      <c r="D173" s="2" t="s">
        <v>40</v>
      </c>
      <c r="E173" s="2" t="n">
        <v>28</v>
      </c>
      <c r="F173" s="2" t="s">
        <v>166</v>
      </c>
      <c r="G173" s="2" t="s">
        <v>164</v>
      </c>
      <c r="H173" s="8" t="n">
        <v>111446</v>
      </c>
      <c r="I173" s="8" t="n">
        <v>340242</v>
      </c>
      <c r="J173" s="9" t="n">
        <f aca="false">H173/I173</f>
        <v>0.327549214970521</v>
      </c>
      <c r="K173" s="10" t="n">
        <v>0.251</v>
      </c>
      <c r="L173" s="8" t="n">
        <v>108435</v>
      </c>
      <c r="M173" s="9" t="n">
        <f aca="false">L173/I173</f>
        <v>0.318699631438799</v>
      </c>
      <c r="N173" s="8" t="n">
        <v>109887</v>
      </c>
      <c r="O173" s="2" t="n">
        <v>0.76</v>
      </c>
      <c r="P173" s="2" t="n">
        <v>0.38</v>
      </c>
      <c r="Q173" s="10" t="n">
        <f aca="false">L173/H173-1</f>
        <v>-0.0270175690468927</v>
      </c>
      <c r="R173" s="10" t="n">
        <f aca="false">ABS(Q173)</f>
        <v>0.0270175690468927</v>
      </c>
      <c r="S173" s="2" t="s">
        <v>43</v>
      </c>
      <c r="T173" s="2" t="n">
        <v>0.47</v>
      </c>
      <c r="U173" s="2" t="n">
        <v>0.924</v>
      </c>
    </row>
    <row r="174" customFormat="false" ht="15" hidden="false" customHeight="false" outlineLevel="0" collapsed="false">
      <c r="A174" s="2" t="s">
        <v>162</v>
      </c>
      <c r="B174" s="2" t="s">
        <v>62</v>
      </c>
      <c r="C174" s="2" t="s">
        <v>39</v>
      </c>
      <c r="D174" s="2" t="s">
        <v>40</v>
      </c>
      <c r="E174" s="2" t="n">
        <v>31</v>
      </c>
      <c r="F174" s="2" t="s">
        <v>166</v>
      </c>
      <c r="G174" s="2" t="s">
        <v>164</v>
      </c>
      <c r="H174" s="8" t="n">
        <v>108977</v>
      </c>
      <c r="I174" s="8" t="n">
        <v>325390</v>
      </c>
      <c r="J174" s="9" t="n">
        <f aca="false">H174/I174</f>
        <v>0.334911951811672</v>
      </c>
      <c r="K174" s="10" t="n">
        <v>0.294</v>
      </c>
      <c r="L174" s="8" t="n">
        <v>105411</v>
      </c>
      <c r="M174" s="9" t="n">
        <f aca="false">L174/I174</f>
        <v>0.32395279510741</v>
      </c>
      <c r="N174" s="8" t="n">
        <v>106831</v>
      </c>
      <c r="O174" s="2" t="n">
        <v>0.76</v>
      </c>
      <c r="P174" s="2" t="n">
        <v>0.38</v>
      </c>
      <c r="Q174" s="10" t="n">
        <f aca="false">L174/H174-1</f>
        <v>-0.0327225010782092</v>
      </c>
      <c r="R174" s="10" t="n">
        <f aca="false">ABS(Q174)</f>
        <v>0.0327225010782092</v>
      </c>
      <c r="S174" s="2" t="s">
        <v>43</v>
      </c>
      <c r="T174" s="2" t="n">
        <v>0.43</v>
      </c>
      <c r="U174" s="2" t="n">
        <v>0.899</v>
      </c>
    </row>
    <row r="175" customFormat="false" ht="15" hidden="false" customHeight="false" outlineLevel="0" collapsed="false">
      <c r="A175" s="2" t="s">
        <v>162</v>
      </c>
      <c r="B175" s="2" t="s">
        <v>63</v>
      </c>
      <c r="C175" s="2" t="s">
        <v>39</v>
      </c>
      <c r="D175" s="2" t="s">
        <v>40</v>
      </c>
      <c r="E175" s="2" t="n">
        <v>30</v>
      </c>
      <c r="F175" s="2" t="s">
        <v>163</v>
      </c>
      <c r="G175" s="2" t="s">
        <v>164</v>
      </c>
      <c r="H175" s="8" t="n">
        <v>126721</v>
      </c>
      <c r="I175" s="8" t="n">
        <v>364608</v>
      </c>
      <c r="J175" s="9" t="n">
        <f aca="false">H175/I175</f>
        <v>0.347554085483588</v>
      </c>
      <c r="K175" s="10" t="n">
        <v>0.287</v>
      </c>
      <c r="L175" s="8" t="n">
        <v>118526</v>
      </c>
      <c r="M175" s="9" t="n">
        <f aca="false">L175/I175</f>
        <v>0.325077891872916</v>
      </c>
      <c r="N175" s="8" t="n">
        <v>119650</v>
      </c>
      <c r="O175" s="2" t="n">
        <v>0.73</v>
      </c>
      <c r="P175" s="2" t="n">
        <v>0.34</v>
      </c>
      <c r="Q175" s="10" t="n">
        <f aca="false">L175/H175-1</f>
        <v>-0.0646696285540676</v>
      </c>
      <c r="R175" s="10" t="n">
        <f aca="false">ABS(Q175)</f>
        <v>0.0646696285540676</v>
      </c>
      <c r="S175" s="2" t="s">
        <v>43</v>
      </c>
      <c r="T175" s="2" t="n">
        <v>0.41</v>
      </c>
      <c r="U175" s="2" t="n">
        <v>0.916</v>
      </c>
    </row>
    <row r="176" customFormat="false" ht="15" hidden="false" customHeight="false" outlineLevel="0" collapsed="false">
      <c r="A176" s="2" t="s">
        <v>162</v>
      </c>
      <c r="B176" s="2" t="s">
        <v>64</v>
      </c>
      <c r="C176" s="2" t="s">
        <v>39</v>
      </c>
      <c r="D176" s="2" t="s">
        <v>40</v>
      </c>
      <c r="E176" s="2" t="n">
        <v>31</v>
      </c>
      <c r="F176" s="2" t="s">
        <v>166</v>
      </c>
      <c r="G176" s="2" t="s">
        <v>164</v>
      </c>
      <c r="H176" s="8" t="n">
        <v>130620</v>
      </c>
      <c r="I176" s="8" t="n">
        <v>389282</v>
      </c>
      <c r="J176" s="9" t="n">
        <f aca="false">H176/I176</f>
        <v>0.335540816169255</v>
      </c>
      <c r="K176" s="10" t="n">
        <v>0.308</v>
      </c>
      <c r="L176" s="8" t="n">
        <v>126369</v>
      </c>
      <c r="M176" s="9" t="n">
        <f aca="false">L176/I176</f>
        <v>0.324620711977435</v>
      </c>
      <c r="N176" s="8" t="n">
        <v>129038</v>
      </c>
      <c r="O176" s="2" t="n">
        <v>0.73</v>
      </c>
      <c r="P176" s="2" t="n">
        <v>0.34</v>
      </c>
      <c r="Q176" s="10" t="n">
        <f aca="false">L176/H176-1</f>
        <v>-0.0325447864033073</v>
      </c>
      <c r="R176" s="10" t="n">
        <f aca="false">ABS(Q176)</f>
        <v>0.0325447864033073</v>
      </c>
      <c r="S176" s="2" t="s">
        <v>43</v>
      </c>
      <c r="T176" s="2" t="n">
        <v>0.42</v>
      </c>
      <c r="U176" s="2" t="n">
        <v>0.91</v>
      </c>
    </row>
    <row r="177" customFormat="false" ht="15" hidden="false" customHeight="false" outlineLevel="0" collapsed="false">
      <c r="A177" s="2" t="s">
        <v>162</v>
      </c>
      <c r="B177" s="2" t="s">
        <v>65</v>
      </c>
      <c r="C177" s="2" t="s">
        <v>39</v>
      </c>
      <c r="D177" s="2" t="s">
        <v>40</v>
      </c>
      <c r="E177" s="2" t="n">
        <v>30</v>
      </c>
      <c r="F177" s="2" t="s">
        <v>166</v>
      </c>
      <c r="G177" s="2" t="s">
        <v>164</v>
      </c>
      <c r="H177" s="8" t="n">
        <v>142215</v>
      </c>
      <c r="I177" s="8" t="n">
        <v>429153</v>
      </c>
      <c r="J177" s="9" t="n">
        <f aca="false">H177/I177</f>
        <v>0.331385310134148</v>
      </c>
      <c r="K177" s="10" t="n">
        <v>0.287</v>
      </c>
      <c r="L177" s="8" t="n">
        <v>138131</v>
      </c>
      <c r="M177" s="9" t="n">
        <f aca="false">L177/I177</f>
        <v>0.321868890582147</v>
      </c>
      <c r="N177" s="8" t="n">
        <v>139719</v>
      </c>
      <c r="O177" s="2" t="n">
        <v>0.73</v>
      </c>
      <c r="P177" s="2" t="n">
        <v>0.34</v>
      </c>
      <c r="Q177" s="10" t="n">
        <f aca="false">L177/H177-1</f>
        <v>-0.0287170832893858</v>
      </c>
      <c r="R177" s="10" t="n">
        <f aca="false">ABS(Q177)</f>
        <v>0.0287170832893858</v>
      </c>
      <c r="S177" s="2" t="s">
        <v>43</v>
      </c>
      <c r="T177" s="2" t="n">
        <v>0.42</v>
      </c>
      <c r="U177" s="2" t="n">
        <v>0.917</v>
      </c>
    </row>
    <row r="178" customFormat="false" ht="15" hidden="false" customHeight="false" outlineLevel="0" collapsed="false">
      <c r="A178" s="2" t="s">
        <v>162</v>
      </c>
      <c r="B178" s="2" t="s">
        <v>66</v>
      </c>
      <c r="C178" s="2" t="s">
        <v>39</v>
      </c>
      <c r="D178" s="2" t="s">
        <v>40</v>
      </c>
      <c r="E178" s="2" t="n">
        <v>31</v>
      </c>
      <c r="F178" s="2" t="s">
        <v>166</v>
      </c>
      <c r="G178" s="2" t="s">
        <v>164</v>
      </c>
      <c r="H178" s="8" t="n">
        <v>166628</v>
      </c>
      <c r="I178" s="8" t="n">
        <v>520706</v>
      </c>
      <c r="J178" s="9" t="n">
        <f aca="false">H178/I178</f>
        <v>0.320003994576594</v>
      </c>
      <c r="K178" s="10" t="n">
        <v>0.252</v>
      </c>
      <c r="L178" s="8" t="n">
        <v>164693</v>
      </c>
      <c r="M178" s="9" t="n">
        <f aca="false">L178/I178</f>
        <v>0.316287886062385</v>
      </c>
      <c r="N178" s="8" t="n">
        <v>165642</v>
      </c>
      <c r="O178" s="2" t="n">
        <v>0.69</v>
      </c>
      <c r="P178" s="2" t="n">
        <v>0.38</v>
      </c>
      <c r="Q178" s="10" t="n">
        <f aca="false">L178/H178-1</f>
        <v>-0.0116126941450416</v>
      </c>
      <c r="R178" s="10" t="n">
        <f aca="false">ABS(Q178)</f>
        <v>0.0116126941450416</v>
      </c>
      <c r="S178" s="2" t="s">
        <v>43</v>
      </c>
      <c r="T178" s="2" t="n">
        <v>0.44</v>
      </c>
      <c r="U178" s="2" t="n">
        <v>0.926</v>
      </c>
    </row>
    <row r="179" customFormat="false" ht="15" hidden="false" customHeight="false" outlineLevel="0" collapsed="false">
      <c r="A179" s="2" t="s">
        <v>162</v>
      </c>
      <c r="B179" s="2" t="s">
        <v>67</v>
      </c>
      <c r="C179" s="2" t="s">
        <v>39</v>
      </c>
      <c r="D179" s="2" t="s">
        <v>40</v>
      </c>
      <c r="E179" s="2" t="n">
        <v>31</v>
      </c>
      <c r="F179" s="2" t="s">
        <v>167</v>
      </c>
      <c r="G179" s="2" t="s">
        <v>168</v>
      </c>
      <c r="H179" s="8" t="n">
        <v>174496</v>
      </c>
      <c r="I179" s="8" t="n">
        <v>544630</v>
      </c>
      <c r="J179" s="9" t="n">
        <f aca="false">H179/I179</f>
        <v>0.320393661752015</v>
      </c>
      <c r="K179" s="10" t="n">
        <v>0.23</v>
      </c>
      <c r="L179" s="8" t="n">
        <v>171170</v>
      </c>
      <c r="M179" s="9" t="n">
        <f aca="false">L179/I179</f>
        <v>0.31428676349081</v>
      </c>
      <c r="N179" s="8" t="n">
        <v>172948</v>
      </c>
      <c r="O179" s="2" t="n">
        <v>0.69</v>
      </c>
      <c r="P179" s="2" t="n">
        <v>0.38</v>
      </c>
      <c r="Q179" s="10" t="n">
        <f aca="false">L179/H179-1</f>
        <v>-0.019060608839171</v>
      </c>
      <c r="R179" s="10" t="n">
        <f aca="false">ABS(Q179)</f>
        <v>0.019060608839171</v>
      </c>
      <c r="S179" s="2" t="s">
        <v>43</v>
      </c>
      <c r="T179" s="2" t="n">
        <v>0.46</v>
      </c>
      <c r="U179" s="2" t="n">
        <v>0.935</v>
      </c>
    </row>
    <row r="180" customFormat="false" ht="15" hidden="false" customHeight="false" outlineLevel="0" collapsed="false">
      <c r="A180" s="2" t="s">
        <v>162</v>
      </c>
      <c r="B180" s="2" t="s">
        <v>68</v>
      </c>
      <c r="C180" s="2" t="s">
        <v>39</v>
      </c>
      <c r="D180" s="2" t="s">
        <v>40</v>
      </c>
      <c r="E180" s="2" t="n">
        <v>30</v>
      </c>
      <c r="F180" s="2" t="s">
        <v>169</v>
      </c>
      <c r="G180" s="2" t="s">
        <v>168</v>
      </c>
      <c r="H180" s="8" t="n">
        <v>187753</v>
      </c>
      <c r="I180" s="8" t="n">
        <v>572258</v>
      </c>
      <c r="J180" s="9" t="n">
        <f aca="false">H180/I180</f>
        <v>0.328091525151243</v>
      </c>
      <c r="K180" s="10" t="n">
        <v>0.206</v>
      </c>
      <c r="L180" s="8" t="n">
        <v>178565</v>
      </c>
      <c r="M180" s="9" t="n">
        <f aca="false">L180/I180</f>
        <v>0.312035829992766</v>
      </c>
      <c r="N180" s="8" t="n">
        <v>180275</v>
      </c>
      <c r="O180" s="2" t="n">
        <v>0.69</v>
      </c>
      <c r="P180" s="2" t="n">
        <v>0.38</v>
      </c>
      <c r="Q180" s="10" t="n">
        <f aca="false">L180/H180-1</f>
        <v>-0.0489366348340639</v>
      </c>
      <c r="R180" s="10" t="n">
        <f aca="false">ABS(Q180)</f>
        <v>0.0489366348340639</v>
      </c>
      <c r="S180" s="2" t="s">
        <v>43</v>
      </c>
      <c r="T180" s="2" t="n">
        <v>0.49</v>
      </c>
      <c r="U180" s="2" t="n">
        <v>0.962</v>
      </c>
    </row>
    <row r="181" customFormat="false" ht="15" hidden="false" customHeight="false" outlineLevel="0" collapsed="false">
      <c r="A181" s="2" t="s">
        <v>170</v>
      </c>
      <c r="B181" s="2" t="s">
        <v>54</v>
      </c>
      <c r="C181" s="2" t="s">
        <v>39</v>
      </c>
      <c r="D181" s="2" t="s">
        <v>40</v>
      </c>
      <c r="E181" s="2" t="n">
        <v>30</v>
      </c>
      <c r="F181" s="2" t="s">
        <v>171</v>
      </c>
      <c r="G181" s="2" t="s">
        <v>172</v>
      </c>
      <c r="H181" s="8" t="n">
        <v>345721</v>
      </c>
      <c r="I181" s="8" t="n">
        <v>1100755</v>
      </c>
      <c r="J181" s="9" t="n">
        <f aca="false">H181/I181</f>
        <v>0.314076247666374</v>
      </c>
      <c r="K181" s="10" t="n">
        <v>0.015</v>
      </c>
      <c r="L181" s="8" t="n">
        <v>345817</v>
      </c>
      <c r="M181" s="9" t="n">
        <f aca="false">L181/I181</f>
        <v>0.314163460533906</v>
      </c>
      <c r="N181" s="8" t="n">
        <v>351258</v>
      </c>
      <c r="O181" s="2" t="n">
        <v>0.45</v>
      </c>
      <c r="P181" s="2" t="n">
        <v>0.34</v>
      </c>
      <c r="Q181" s="10" t="n">
        <f aca="false">L181/H181-1</f>
        <v>0.000277680557443816</v>
      </c>
      <c r="R181" s="10" t="n">
        <f aca="false">ABS(Q181)</f>
        <v>0.000277680557443816</v>
      </c>
      <c r="S181" s="2" t="s">
        <v>43</v>
      </c>
      <c r="T181" s="2" t="n">
        <v>0.39</v>
      </c>
      <c r="U181" s="2" t="n">
        <v>1.03</v>
      </c>
    </row>
    <row r="182" customFormat="false" ht="15" hidden="false" customHeight="false" outlineLevel="0" collapsed="false">
      <c r="A182" s="2" t="s">
        <v>170</v>
      </c>
      <c r="B182" s="2" t="s">
        <v>57</v>
      </c>
      <c r="C182" s="2" t="s">
        <v>39</v>
      </c>
      <c r="D182" s="2" t="s">
        <v>40</v>
      </c>
      <c r="E182" s="2" t="n">
        <v>31</v>
      </c>
      <c r="F182" s="2" t="s">
        <v>173</v>
      </c>
      <c r="G182" s="2" t="s">
        <v>172</v>
      </c>
      <c r="H182" s="8" t="n">
        <v>271276</v>
      </c>
      <c r="I182" s="8" t="n">
        <v>888791</v>
      </c>
      <c r="J182" s="9" t="n">
        <f aca="false">H182/I182</f>
        <v>0.305219112254737</v>
      </c>
      <c r="K182" s="10" t="n">
        <v>0.048</v>
      </c>
      <c r="L182" s="8" t="n">
        <v>273392</v>
      </c>
      <c r="M182" s="9" t="n">
        <f aca="false">L182/I182</f>
        <v>0.307599874436172</v>
      </c>
      <c r="N182" s="8" t="n">
        <v>276311</v>
      </c>
      <c r="O182" s="2" t="n">
        <v>0.45</v>
      </c>
      <c r="P182" s="2" t="n">
        <v>0.32</v>
      </c>
      <c r="Q182" s="10" t="n">
        <f aca="false">L182/H182-1</f>
        <v>0.00780017399253907</v>
      </c>
      <c r="R182" s="10" t="n">
        <f aca="false">ABS(Q182)</f>
        <v>0.00780017399253907</v>
      </c>
      <c r="S182" s="2" t="s">
        <v>43</v>
      </c>
      <c r="T182" s="2" t="n">
        <v>0.38</v>
      </c>
      <c r="U182" s="2" t="n">
        <v>1</v>
      </c>
    </row>
    <row r="183" customFormat="false" ht="15" hidden="false" customHeight="false" outlineLevel="0" collapsed="false">
      <c r="A183" s="2" t="s">
        <v>170</v>
      </c>
      <c r="B183" s="2" t="s">
        <v>58</v>
      </c>
      <c r="C183" s="2" t="s">
        <v>39</v>
      </c>
      <c r="D183" s="2" t="s">
        <v>40</v>
      </c>
      <c r="E183" s="2" t="n">
        <v>30</v>
      </c>
      <c r="F183" s="2" t="s">
        <v>174</v>
      </c>
      <c r="G183" s="2" t="s">
        <v>172</v>
      </c>
      <c r="H183" s="8" t="n">
        <v>242148</v>
      </c>
      <c r="I183" s="8" t="n">
        <v>769955</v>
      </c>
      <c r="J183" s="9" t="n">
        <f aca="false">H183/I183</f>
        <v>0.314496301731919</v>
      </c>
      <c r="K183" s="10" t="n">
        <v>0.048</v>
      </c>
      <c r="L183" s="8" t="n">
        <v>237539</v>
      </c>
      <c r="M183" s="9" t="n">
        <f aca="false">L183/I183</f>
        <v>0.308510237611289</v>
      </c>
      <c r="N183" s="8" t="n">
        <v>240012</v>
      </c>
      <c r="O183" s="2" t="n">
        <v>0.45</v>
      </c>
      <c r="P183" s="2" t="n">
        <v>0.32</v>
      </c>
      <c r="Q183" s="10" t="n">
        <f aca="false">L183/H183-1</f>
        <v>-0.0190338140310884</v>
      </c>
      <c r="R183" s="10" t="n">
        <f aca="false">ABS(Q183)</f>
        <v>0.0190338140310884</v>
      </c>
      <c r="S183" s="2" t="s">
        <v>43</v>
      </c>
      <c r="T183" s="2" t="n">
        <v>0.37</v>
      </c>
      <c r="U183" s="2" t="n">
        <v>0.963</v>
      </c>
    </row>
    <row r="184" customFormat="false" ht="15" hidden="false" customHeight="false" outlineLevel="0" collapsed="false">
      <c r="A184" s="2" t="s">
        <v>170</v>
      </c>
      <c r="B184" s="2" t="s">
        <v>59</v>
      </c>
      <c r="C184" s="2" t="s">
        <v>39</v>
      </c>
      <c r="D184" s="2" t="s">
        <v>40</v>
      </c>
      <c r="E184" s="2" t="n">
        <v>31</v>
      </c>
      <c r="F184" s="2" t="s">
        <v>175</v>
      </c>
      <c r="G184" s="2" t="s">
        <v>172</v>
      </c>
      <c r="H184" s="8" t="n">
        <v>216641</v>
      </c>
      <c r="I184" s="8" t="n">
        <v>650715</v>
      </c>
      <c r="J184" s="9" t="n">
        <f aca="false">H184/I184</f>
        <v>0.332927625765504</v>
      </c>
      <c r="K184" s="10" t="n">
        <v>0.047</v>
      </c>
      <c r="L184" s="8" t="n">
        <v>203394</v>
      </c>
      <c r="M184" s="9" t="n">
        <f aca="false">L184/I184</f>
        <v>0.3125700191328</v>
      </c>
      <c r="N184" s="8" t="n">
        <v>207470</v>
      </c>
      <c r="O184" s="2" t="n">
        <v>0.45</v>
      </c>
      <c r="P184" s="2" t="n">
        <v>0.32</v>
      </c>
      <c r="Q184" s="10" t="n">
        <f aca="false">L184/H184-1</f>
        <v>-0.0611472435965491</v>
      </c>
      <c r="R184" s="10" t="n">
        <f aca="false">ABS(Q184)</f>
        <v>0.0611472435965491</v>
      </c>
      <c r="S184" s="2" t="s">
        <v>43</v>
      </c>
      <c r="T184" s="2" t="n">
        <v>0.37</v>
      </c>
      <c r="U184" s="2" t="n">
        <v>0.985</v>
      </c>
    </row>
    <row r="185" customFormat="false" ht="15" hidden="false" customHeight="false" outlineLevel="0" collapsed="false">
      <c r="A185" s="2" t="s">
        <v>170</v>
      </c>
      <c r="B185" s="2" t="s">
        <v>61</v>
      </c>
      <c r="C185" s="2" t="s">
        <v>39</v>
      </c>
      <c r="D185" s="2" t="s">
        <v>40</v>
      </c>
      <c r="E185" s="2" t="n">
        <v>28</v>
      </c>
      <c r="F185" s="2" t="s">
        <v>176</v>
      </c>
      <c r="G185" s="2" t="s">
        <v>172</v>
      </c>
      <c r="H185" s="8" t="n">
        <v>229314</v>
      </c>
      <c r="I185" s="8" t="n">
        <v>698776</v>
      </c>
      <c r="J185" s="9" t="n">
        <f aca="false">H185/I185</f>
        <v>0.328165248949592</v>
      </c>
      <c r="K185" s="10" t="n">
        <v>0.043</v>
      </c>
      <c r="L185" s="8" t="n">
        <v>231963</v>
      </c>
      <c r="M185" s="9" t="n">
        <f aca="false">L185/I185</f>
        <v>0.331956163348484</v>
      </c>
      <c r="N185" s="8" t="n">
        <v>234543</v>
      </c>
      <c r="O185" s="2" t="n">
        <v>0.52</v>
      </c>
      <c r="P185" s="2" t="n">
        <v>0.36</v>
      </c>
      <c r="Q185" s="10" t="n">
        <f aca="false">L185/H185-1</f>
        <v>0.0115518459405008</v>
      </c>
      <c r="R185" s="10" t="n">
        <f aca="false">ABS(Q185)</f>
        <v>0.0115518459405008</v>
      </c>
      <c r="S185" s="2" t="s">
        <v>43</v>
      </c>
      <c r="T185" s="2" t="n">
        <v>0.43</v>
      </c>
      <c r="U185" s="2" t="n">
        <v>1.037</v>
      </c>
    </row>
    <row r="186" customFormat="false" ht="15" hidden="false" customHeight="false" outlineLevel="0" collapsed="false">
      <c r="A186" s="2" t="s">
        <v>170</v>
      </c>
      <c r="B186" s="2" t="s">
        <v>62</v>
      </c>
      <c r="C186" s="2" t="s">
        <v>39</v>
      </c>
      <c r="D186" s="2" t="s">
        <v>40</v>
      </c>
      <c r="E186" s="2" t="n">
        <v>31</v>
      </c>
      <c r="F186" s="2" t="s">
        <v>177</v>
      </c>
      <c r="G186" s="2" t="s">
        <v>172</v>
      </c>
      <c r="H186" s="8" t="n">
        <v>274224</v>
      </c>
      <c r="I186" s="8" t="n">
        <v>877992</v>
      </c>
      <c r="J186" s="9" t="n">
        <f aca="false">H186/I186</f>
        <v>0.312330864062543</v>
      </c>
      <c r="K186" s="10" t="n">
        <v>0.053</v>
      </c>
      <c r="L186" s="8" t="n">
        <v>288599</v>
      </c>
      <c r="M186" s="9" t="n">
        <f aca="false">L186/I186</f>
        <v>0.328703450600917</v>
      </c>
      <c r="N186" s="8" t="n">
        <v>286258</v>
      </c>
      <c r="O186" s="2" t="n">
        <v>0.52</v>
      </c>
      <c r="P186" s="2" t="n">
        <v>0.36</v>
      </c>
      <c r="Q186" s="10" t="n">
        <f aca="false">L186/H186-1</f>
        <v>0.0524206488126495</v>
      </c>
      <c r="R186" s="10" t="n">
        <f aca="false">ABS(Q186)</f>
        <v>0.0524206488126495</v>
      </c>
      <c r="S186" s="2" t="s">
        <v>43</v>
      </c>
      <c r="T186" s="2" t="n">
        <v>0.44</v>
      </c>
      <c r="U186" s="2" t="n">
        <v>1.195</v>
      </c>
    </row>
    <row r="187" customFormat="false" ht="15" hidden="false" customHeight="false" outlineLevel="0" collapsed="false">
      <c r="A187" s="2" t="s">
        <v>170</v>
      </c>
      <c r="B187" s="2" t="s">
        <v>63</v>
      </c>
      <c r="C187" s="2" t="s">
        <v>39</v>
      </c>
      <c r="D187" s="2" t="s">
        <v>40</v>
      </c>
      <c r="E187" s="2" t="n">
        <v>30</v>
      </c>
      <c r="F187" s="2" t="s">
        <v>178</v>
      </c>
      <c r="G187" s="2" t="s">
        <v>172</v>
      </c>
      <c r="H187" s="8" t="n">
        <v>307285</v>
      </c>
      <c r="I187" s="8" t="n">
        <v>973375</v>
      </c>
      <c r="J187" s="9" t="n">
        <f aca="false">H187/I187</f>
        <v>0.315690252985746</v>
      </c>
      <c r="K187" s="10" t="n">
        <v>0.052</v>
      </c>
      <c r="L187" s="8" t="n">
        <v>318867</v>
      </c>
      <c r="M187" s="9" t="n">
        <f aca="false">L187/I187</f>
        <v>0.327589058687556</v>
      </c>
      <c r="N187" s="8" t="n">
        <v>319510</v>
      </c>
      <c r="O187" s="2" t="n">
        <v>0.53</v>
      </c>
      <c r="P187" s="2" t="n">
        <v>0.37</v>
      </c>
      <c r="Q187" s="10" t="n">
        <f aca="false">L187/H187-1</f>
        <v>0.0376913939827848</v>
      </c>
      <c r="R187" s="10" t="n">
        <f aca="false">ABS(Q187)</f>
        <v>0.0376913939827848</v>
      </c>
      <c r="S187" s="2" t="s">
        <v>43</v>
      </c>
      <c r="T187" s="2" t="n">
        <v>0.45</v>
      </c>
      <c r="U187" s="2" t="n">
        <v>0.985</v>
      </c>
    </row>
    <row r="188" customFormat="false" ht="15" hidden="false" customHeight="false" outlineLevel="0" collapsed="false">
      <c r="A188" s="2" t="s">
        <v>170</v>
      </c>
      <c r="B188" s="2" t="s">
        <v>64</v>
      </c>
      <c r="C188" s="2" t="s">
        <v>39</v>
      </c>
      <c r="D188" s="2" t="s">
        <v>40</v>
      </c>
      <c r="E188" s="2" t="n">
        <v>31</v>
      </c>
      <c r="F188" s="2" t="s">
        <v>179</v>
      </c>
      <c r="G188" s="2" t="s">
        <v>172</v>
      </c>
      <c r="H188" s="8" t="n">
        <v>310553</v>
      </c>
      <c r="I188" s="8" t="n">
        <v>1026543</v>
      </c>
      <c r="J188" s="9" t="n">
        <f aca="false">H188/I188</f>
        <v>0.302523128597633</v>
      </c>
      <c r="K188" s="10" t="n">
        <v>0.054</v>
      </c>
      <c r="L188" s="8" t="n">
        <v>326026</v>
      </c>
      <c r="M188" s="9" t="n">
        <f aca="false">L188/I188</f>
        <v>0.317596048095404</v>
      </c>
      <c r="N188" s="8" t="n">
        <v>331855</v>
      </c>
      <c r="O188" s="2" t="n">
        <v>0.53</v>
      </c>
      <c r="P188" s="2" t="n">
        <v>0.37</v>
      </c>
      <c r="Q188" s="10" t="n">
        <f aca="false">L188/H188-1</f>
        <v>0.0498240235966163</v>
      </c>
      <c r="R188" s="10" t="n">
        <f aca="false">ABS(Q188)</f>
        <v>0.0498240235966163</v>
      </c>
      <c r="S188" s="2" t="s">
        <v>43</v>
      </c>
      <c r="T188" s="2" t="n">
        <v>0.45</v>
      </c>
      <c r="U188" s="2" t="n">
        <v>0.981</v>
      </c>
    </row>
    <row r="189" customFormat="false" ht="15" hidden="false" customHeight="false" outlineLevel="0" collapsed="false">
      <c r="A189" s="2" t="s">
        <v>170</v>
      </c>
      <c r="B189" s="2" t="s">
        <v>65</v>
      </c>
      <c r="C189" s="2" t="s">
        <v>39</v>
      </c>
      <c r="D189" s="2" t="s">
        <v>40</v>
      </c>
      <c r="E189" s="2" t="n">
        <v>30</v>
      </c>
      <c r="F189" s="2" t="s">
        <v>180</v>
      </c>
      <c r="G189" s="2" t="s">
        <v>172</v>
      </c>
      <c r="H189" s="8" t="n">
        <v>310703</v>
      </c>
      <c r="I189" s="8" t="n">
        <v>1041104</v>
      </c>
      <c r="J189" s="9" t="n">
        <f aca="false">H189/I189</f>
        <v>0.29843608323472</v>
      </c>
      <c r="K189" s="10" t="n">
        <v>0.049</v>
      </c>
      <c r="L189" s="8" t="n">
        <v>332100</v>
      </c>
      <c r="M189" s="9" t="n">
        <f aca="false">L189/I189</f>
        <v>0.318988304722679</v>
      </c>
      <c r="N189" s="8" t="n">
        <v>336098</v>
      </c>
      <c r="O189" s="2" t="n">
        <v>0.53</v>
      </c>
      <c r="P189" s="2" t="n">
        <v>0.37</v>
      </c>
      <c r="Q189" s="10" t="n">
        <f aca="false">L189/H189-1</f>
        <v>0.0688664094006173</v>
      </c>
      <c r="R189" s="10" t="n">
        <f aca="false">ABS(Q189)</f>
        <v>0.0688664094006173</v>
      </c>
      <c r="S189" s="2" t="s">
        <v>43</v>
      </c>
      <c r="T189" s="2" t="n">
        <v>0.45</v>
      </c>
      <c r="U189" s="2" t="n">
        <v>0.991</v>
      </c>
    </row>
    <row r="190" customFormat="false" ht="15" hidden="false" customHeight="false" outlineLevel="0" collapsed="false">
      <c r="A190" s="2" t="s">
        <v>170</v>
      </c>
      <c r="B190" s="2" t="s">
        <v>66</v>
      </c>
      <c r="C190" s="2" t="s">
        <v>39</v>
      </c>
      <c r="D190" s="2" t="s">
        <v>40</v>
      </c>
      <c r="E190" s="2" t="n">
        <v>31</v>
      </c>
      <c r="F190" s="2" t="s">
        <v>181</v>
      </c>
      <c r="G190" s="2" t="s">
        <v>172</v>
      </c>
      <c r="H190" s="8" t="n">
        <v>312987</v>
      </c>
      <c r="I190" s="8" t="n">
        <v>1044074</v>
      </c>
      <c r="J190" s="9" t="n">
        <f aca="false">H190/I190</f>
        <v>0.29977472861119</v>
      </c>
      <c r="K190" s="10" t="n">
        <v>0.047</v>
      </c>
      <c r="L190" s="8" t="n">
        <v>331614</v>
      </c>
      <c r="M190" s="9" t="n">
        <f aca="false">L190/I190</f>
        <v>0.317615418064237</v>
      </c>
      <c r="N190" s="8" t="n">
        <v>336823</v>
      </c>
      <c r="O190" s="2" t="n">
        <v>0.62</v>
      </c>
      <c r="P190" s="2" t="n">
        <v>0.49</v>
      </c>
      <c r="Q190" s="10" t="n">
        <f aca="false">L190/H190-1</f>
        <v>0.0595136539217285</v>
      </c>
      <c r="R190" s="10" t="n">
        <f aca="false">ABS(Q190)</f>
        <v>0.0595136539217285</v>
      </c>
      <c r="S190" s="2" t="s">
        <v>43</v>
      </c>
      <c r="T190" s="2" t="n">
        <v>0.55</v>
      </c>
      <c r="U190" s="2" t="n">
        <v>0.975</v>
      </c>
    </row>
    <row r="191" customFormat="false" ht="15" hidden="false" customHeight="false" outlineLevel="0" collapsed="false">
      <c r="A191" s="2" t="s">
        <v>170</v>
      </c>
      <c r="B191" s="2" t="s">
        <v>67</v>
      </c>
      <c r="C191" s="2" t="s">
        <v>39</v>
      </c>
      <c r="D191" s="2" t="s">
        <v>40</v>
      </c>
      <c r="E191" s="2" t="n">
        <v>31</v>
      </c>
      <c r="F191" s="2" t="s">
        <v>182</v>
      </c>
      <c r="G191" s="2" t="s">
        <v>183</v>
      </c>
      <c r="H191" s="8" t="n">
        <v>471565</v>
      </c>
      <c r="I191" s="8" t="n">
        <v>1585106</v>
      </c>
      <c r="J191" s="9" t="n">
        <f aca="false">H191/I191</f>
        <v>0.297497454428915</v>
      </c>
      <c r="K191" s="10" t="n">
        <v>0.031</v>
      </c>
      <c r="L191" s="8" t="n">
        <v>504671</v>
      </c>
      <c r="M191" s="9" t="n">
        <f aca="false">L191/I191</f>
        <v>0.318383123904647</v>
      </c>
      <c r="N191" s="8" t="n">
        <v>504335</v>
      </c>
      <c r="O191" s="2" t="n">
        <v>0.62</v>
      </c>
      <c r="P191" s="2" t="n">
        <v>0.49</v>
      </c>
      <c r="Q191" s="10" t="n">
        <f aca="false">L191/H191-1</f>
        <v>0.0702045317188511</v>
      </c>
      <c r="R191" s="10" t="n">
        <f aca="false">ABS(Q191)</f>
        <v>0.0702045317188511</v>
      </c>
      <c r="S191" s="2" t="s">
        <v>43</v>
      </c>
      <c r="T191" s="2" t="n">
        <v>0.55</v>
      </c>
      <c r="U191" s="2" t="n">
        <v>1.049</v>
      </c>
    </row>
    <row r="192" customFormat="false" ht="15" hidden="false" customHeight="false" outlineLevel="0" collapsed="false">
      <c r="A192" s="2" t="s">
        <v>170</v>
      </c>
      <c r="B192" s="2" t="s">
        <v>68</v>
      </c>
      <c r="C192" s="2" t="s">
        <v>39</v>
      </c>
      <c r="D192" s="2" t="s">
        <v>40</v>
      </c>
      <c r="E192" s="2" t="n">
        <v>30</v>
      </c>
      <c r="F192" s="2" t="s">
        <v>184</v>
      </c>
      <c r="G192" s="2" t="s">
        <v>183</v>
      </c>
      <c r="H192" s="8" t="n">
        <v>478666</v>
      </c>
      <c r="I192" s="8" t="n">
        <v>1621491</v>
      </c>
      <c r="J192" s="9" t="n">
        <f aca="false">H192/I192</f>
        <v>0.295201145118906</v>
      </c>
      <c r="K192" s="10" t="n">
        <v>0.028</v>
      </c>
      <c r="L192" s="8" t="n">
        <v>504900</v>
      </c>
      <c r="M192" s="9" t="n">
        <f aca="false">L192/I192</f>
        <v>0.311380081665578</v>
      </c>
      <c r="N192" s="8" t="n">
        <v>506917</v>
      </c>
      <c r="O192" s="2" t="n">
        <v>0.62</v>
      </c>
      <c r="P192" s="2" t="n">
        <v>0.49</v>
      </c>
      <c r="Q192" s="10" t="n">
        <f aca="false">L192/H192-1</f>
        <v>0.0548064830173858</v>
      </c>
      <c r="R192" s="10" t="n">
        <f aca="false">ABS(Q192)</f>
        <v>0.0548064830173858</v>
      </c>
      <c r="S192" s="2" t="s">
        <v>43</v>
      </c>
      <c r="T192" s="2" t="n">
        <v>0.55</v>
      </c>
      <c r="U192" s="2" t="n">
        <v>1.102</v>
      </c>
    </row>
    <row r="193" customFormat="false" ht="15" hidden="false" customHeight="false" outlineLevel="0" collapsed="false">
      <c r="A193" s="2" t="s">
        <v>185</v>
      </c>
      <c r="B193" s="2" t="s">
        <v>54</v>
      </c>
      <c r="C193" s="2" t="s">
        <v>39</v>
      </c>
      <c r="D193" s="2" t="s">
        <v>40</v>
      </c>
      <c r="E193" s="2" t="n">
        <v>30</v>
      </c>
      <c r="F193" s="2" t="s">
        <v>84</v>
      </c>
      <c r="G193" s="2" t="s">
        <v>186</v>
      </c>
      <c r="H193" s="8" t="n">
        <v>75176</v>
      </c>
      <c r="I193" s="8" t="n">
        <v>266587</v>
      </c>
      <c r="J193" s="9" t="n">
        <f aca="false">H193/I193</f>
        <v>0.281994245780927</v>
      </c>
      <c r="K193" s="10" t="n">
        <v>0.145</v>
      </c>
      <c r="L193" s="8" t="n">
        <v>76952</v>
      </c>
      <c r="M193" s="9" t="n">
        <f aca="false">L193/I193</f>
        <v>0.28865623605052</v>
      </c>
      <c r="N193" s="8" t="n">
        <v>76571</v>
      </c>
      <c r="O193" s="2" t="n">
        <v>0.72</v>
      </c>
      <c r="P193" s="2" t="n">
        <v>0.45</v>
      </c>
      <c r="Q193" s="10" t="n">
        <f aca="false">L193/H193-1</f>
        <v>0.023624561030116</v>
      </c>
      <c r="R193" s="10" t="n">
        <f aca="false">ABS(Q193)</f>
        <v>0.023624561030116</v>
      </c>
      <c r="S193" s="2" t="s">
        <v>43</v>
      </c>
      <c r="T193" s="2" t="n">
        <v>0.5</v>
      </c>
      <c r="U193" s="2" t="n">
        <v>1.086</v>
      </c>
    </row>
    <row r="194" customFormat="false" ht="15" hidden="false" customHeight="false" outlineLevel="0" collapsed="false">
      <c r="A194" s="2" t="s">
        <v>185</v>
      </c>
      <c r="B194" s="2" t="s">
        <v>57</v>
      </c>
      <c r="C194" s="2" t="s">
        <v>39</v>
      </c>
      <c r="D194" s="2" t="s">
        <v>40</v>
      </c>
      <c r="E194" s="2" t="n">
        <v>31</v>
      </c>
      <c r="F194" s="2" t="s">
        <v>84</v>
      </c>
      <c r="G194" s="2" t="s">
        <v>186</v>
      </c>
      <c r="H194" s="8" t="n">
        <v>61996</v>
      </c>
      <c r="I194" s="8" t="n">
        <v>198579</v>
      </c>
      <c r="J194" s="9" t="n">
        <f aca="false">H194/I194</f>
        <v>0.312198167983523</v>
      </c>
      <c r="K194" s="10" t="n">
        <v>0.187</v>
      </c>
      <c r="L194" s="8" t="n">
        <v>59108</v>
      </c>
      <c r="M194" s="9" t="n">
        <f aca="false">L194/I194</f>
        <v>0.297654837621299</v>
      </c>
      <c r="N194" s="8" t="n">
        <v>58303</v>
      </c>
      <c r="O194" s="2" t="n">
        <v>0.71</v>
      </c>
      <c r="P194" s="2" t="n">
        <v>0.36</v>
      </c>
      <c r="Q194" s="10" t="n">
        <f aca="false">L194/H194-1</f>
        <v>-0.0465836505581005</v>
      </c>
      <c r="R194" s="10" t="n">
        <f aca="false">ABS(Q194)</f>
        <v>0.0465836505581005</v>
      </c>
      <c r="S194" s="2" t="s">
        <v>43</v>
      </c>
      <c r="T194" s="2" t="n">
        <v>0.44</v>
      </c>
      <c r="U194" s="2" t="n">
        <v>1.125</v>
      </c>
    </row>
    <row r="195" customFormat="false" ht="15" hidden="false" customHeight="false" outlineLevel="0" collapsed="false">
      <c r="A195" s="2" t="s">
        <v>185</v>
      </c>
      <c r="B195" s="2" t="s">
        <v>58</v>
      </c>
      <c r="C195" s="2" t="s">
        <v>39</v>
      </c>
      <c r="D195" s="2" t="s">
        <v>40</v>
      </c>
      <c r="E195" s="2" t="n">
        <v>30</v>
      </c>
      <c r="F195" s="2" t="s">
        <v>55</v>
      </c>
      <c r="G195" s="2" t="s">
        <v>186</v>
      </c>
      <c r="H195" s="8" t="n">
        <v>34474</v>
      </c>
      <c r="I195" s="8" t="n">
        <v>113563</v>
      </c>
      <c r="J195" s="9" t="n">
        <f aca="false">H195/I195</f>
        <v>0.303567182973328</v>
      </c>
      <c r="K195" s="10" t="n">
        <v>0.191</v>
      </c>
      <c r="L195" s="8" t="n">
        <v>36098</v>
      </c>
      <c r="M195" s="9" t="n">
        <f aca="false">L195/I195</f>
        <v>0.317867615332459</v>
      </c>
      <c r="N195" s="8" t="n">
        <v>36123</v>
      </c>
      <c r="O195" s="2" t="n">
        <v>0.71</v>
      </c>
      <c r="P195" s="2" t="n">
        <v>0.36</v>
      </c>
      <c r="Q195" s="10" t="n">
        <f aca="false">L195/H195-1</f>
        <v>0.0471079654232176</v>
      </c>
      <c r="R195" s="10" t="n">
        <f aca="false">ABS(Q195)</f>
        <v>0.0471079654232176</v>
      </c>
      <c r="S195" s="2" t="s">
        <v>43</v>
      </c>
      <c r="T195" s="2" t="n">
        <v>0.39</v>
      </c>
      <c r="U195" s="2" t="n">
        <v>1.046</v>
      </c>
    </row>
    <row r="196" customFormat="false" ht="15" hidden="false" customHeight="false" outlineLevel="0" collapsed="false">
      <c r="A196" s="2" t="s">
        <v>185</v>
      </c>
      <c r="B196" s="2" t="s">
        <v>59</v>
      </c>
      <c r="C196" s="2" t="s">
        <v>39</v>
      </c>
      <c r="D196" s="2" t="s">
        <v>40</v>
      </c>
      <c r="E196" s="2" t="n">
        <v>31</v>
      </c>
      <c r="F196" s="2" t="s">
        <v>84</v>
      </c>
      <c r="G196" s="2" t="s">
        <v>186</v>
      </c>
      <c r="H196" s="8" t="n">
        <v>39411</v>
      </c>
      <c r="I196" s="8" t="n">
        <v>129914</v>
      </c>
      <c r="J196" s="9" t="n">
        <f aca="false">H196/I196</f>
        <v>0.303362224240652</v>
      </c>
      <c r="K196" s="10" t="n">
        <v>0.139</v>
      </c>
      <c r="L196" s="8" t="n">
        <v>40785</v>
      </c>
      <c r="M196" s="9" t="n">
        <f aca="false">L196/I196</f>
        <v>0.313938451591053</v>
      </c>
      <c r="N196" s="8" t="n">
        <v>40743</v>
      </c>
      <c r="O196" s="2" t="n">
        <v>0.71</v>
      </c>
      <c r="P196" s="2" t="n">
        <v>0.36</v>
      </c>
      <c r="Q196" s="10" t="n">
        <f aca="false">L196/H196-1</f>
        <v>0.0348633630204764</v>
      </c>
      <c r="R196" s="10" t="n">
        <f aca="false">ABS(Q196)</f>
        <v>0.0348633630204764</v>
      </c>
      <c r="S196" s="2" t="s">
        <v>43</v>
      </c>
      <c r="T196" s="2" t="n">
        <v>0.39</v>
      </c>
      <c r="U196" s="2" t="n">
        <v>1.07</v>
      </c>
    </row>
    <row r="197" customFormat="false" ht="15" hidden="false" customHeight="false" outlineLevel="0" collapsed="false">
      <c r="A197" s="2" t="s">
        <v>185</v>
      </c>
      <c r="B197" s="2" t="s">
        <v>60</v>
      </c>
      <c r="C197" s="2" t="s">
        <v>39</v>
      </c>
      <c r="D197" s="2" t="s">
        <v>40</v>
      </c>
      <c r="E197" s="2" t="n">
        <v>31</v>
      </c>
      <c r="F197" s="2" t="s">
        <v>187</v>
      </c>
      <c r="G197" s="2" t="s">
        <v>186</v>
      </c>
      <c r="H197" s="8" t="n">
        <v>44184</v>
      </c>
      <c r="I197" s="8" t="n">
        <v>149432</v>
      </c>
      <c r="J197" s="9" t="n">
        <f aca="false">H197/I197</f>
        <v>0.2956796402377</v>
      </c>
      <c r="K197" s="10" t="n">
        <v>0.12</v>
      </c>
      <c r="L197" s="8" t="n">
        <v>46575</v>
      </c>
      <c r="M197" s="9" t="n">
        <f aca="false">L197/I197</f>
        <v>0.311680229134322</v>
      </c>
      <c r="N197" s="8" t="n">
        <v>46595</v>
      </c>
      <c r="O197" s="2" t="n">
        <v>0.71</v>
      </c>
      <c r="P197" s="2" t="n">
        <v>0.35</v>
      </c>
      <c r="Q197" s="10" t="n">
        <f aca="false">L197/H197-1</f>
        <v>0.0541146116241174</v>
      </c>
      <c r="R197" s="10" t="n">
        <f aca="false">ABS(Q197)</f>
        <v>0.0541146116241174</v>
      </c>
      <c r="S197" s="2" t="s">
        <v>43</v>
      </c>
      <c r="T197" s="2" t="n">
        <v>0.39</v>
      </c>
      <c r="U197" s="2" t="n">
        <v>1</v>
      </c>
    </row>
    <row r="198" customFormat="false" ht="15" hidden="false" customHeight="false" outlineLevel="0" collapsed="false">
      <c r="A198" s="2" t="s">
        <v>185</v>
      </c>
      <c r="B198" s="2" t="s">
        <v>61</v>
      </c>
      <c r="C198" s="2" t="s">
        <v>39</v>
      </c>
      <c r="D198" s="2" t="s">
        <v>40</v>
      </c>
      <c r="E198" s="2" t="n">
        <v>28</v>
      </c>
      <c r="F198" s="2" t="s">
        <v>187</v>
      </c>
      <c r="G198" s="2" t="s">
        <v>186</v>
      </c>
      <c r="H198" s="8" t="n">
        <v>31240</v>
      </c>
      <c r="I198" s="8" t="n">
        <v>98664</v>
      </c>
      <c r="J198" s="9" t="n">
        <f aca="false">H198/I198</f>
        <v>0.316630179194032</v>
      </c>
      <c r="K198" s="10" t="n">
        <v>0.193</v>
      </c>
      <c r="L198" s="8" t="n">
        <v>32526</v>
      </c>
      <c r="M198" s="9" t="n">
        <f aca="false">L198/I198</f>
        <v>0.329664315251764</v>
      </c>
      <c r="N198" s="8" t="n">
        <v>32659</v>
      </c>
      <c r="O198" s="2" t="n">
        <v>0.71</v>
      </c>
      <c r="P198" s="2" t="n">
        <v>0.35</v>
      </c>
      <c r="Q198" s="10" t="n">
        <f aca="false">L198/H198-1</f>
        <v>0.0411651728553137</v>
      </c>
      <c r="R198" s="10" t="n">
        <f aca="false">ABS(Q198)</f>
        <v>0.0411651728553137</v>
      </c>
      <c r="S198" s="2" t="s">
        <v>43</v>
      </c>
      <c r="T198" s="2" t="n">
        <v>0.35</v>
      </c>
      <c r="U198" s="2" t="n">
        <v>1.023</v>
      </c>
    </row>
    <row r="199" customFormat="false" ht="15" hidden="false" customHeight="false" outlineLevel="0" collapsed="false">
      <c r="A199" s="2" t="s">
        <v>185</v>
      </c>
      <c r="B199" s="2" t="s">
        <v>62</v>
      </c>
      <c r="C199" s="2" t="s">
        <v>39</v>
      </c>
      <c r="D199" s="2" t="s">
        <v>40</v>
      </c>
      <c r="E199" s="2" t="n">
        <v>31</v>
      </c>
      <c r="F199" s="2" t="s">
        <v>187</v>
      </c>
      <c r="G199" s="2" t="s">
        <v>186</v>
      </c>
      <c r="H199" s="8" t="n">
        <v>22378</v>
      </c>
      <c r="I199" s="8" t="n">
        <v>66049</v>
      </c>
      <c r="J199" s="9" t="n">
        <f aca="false">H199/I199</f>
        <v>0.338809065996457</v>
      </c>
      <c r="K199" s="10" t="n">
        <v>0.2</v>
      </c>
      <c r="L199" s="8" t="n">
        <v>26612</v>
      </c>
      <c r="M199" s="9" t="n">
        <f aca="false">L199/I199</f>
        <v>0.402912988841618</v>
      </c>
      <c r="N199" s="8" t="n">
        <v>26657</v>
      </c>
      <c r="O199" s="2" t="n">
        <v>0.71</v>
      </c>
      <c r="P199" s="2" t="n">
        <v>0.35</v>
      </c>
      <c r="Q199" s="10" t="n">
        <f aca="false">L199/H199-1</f>
        <v>0.189203682187863</v>
      </c>
      <c r="R199" s="10" t="n">
        <f aca="false">ABS(Q199)</f>
        <v>0.189203682187863</v>
      </c>
      <c r="S199" s="2" t="s">
        <v>43</v>
      </c>
      <c r="T199" s="2" t="n">
        <v>0.22</v>
      </c>
      <c r="U199" s="2" t="n">
        <v>1.005</v>
      </c>
    </row>
    <row r="200" customFormat="false" ht="15" hidden="false" customHeight="false" outlineLevel="0" collapsed="false">
      <c r="A200" s="2" t="s">
        <v>185</v>
      </c>
      <c r="B200" s="2" t="s">
        <v>63</v>
      </c>
      <c r="C200" s="2" t="s">
        <v>39</v>
      </c>
      <c r="D200" s="2" t="s">
        <v>40</v>
      </c>
      <c r="E200" s="2" t="n">
        <v>30</v>
      </c>
      <c r="F200" s="2" t="s">
        <v>187</v>
      </c>
      <c r="G200" s="2" t="s">
        <v>186</v>
      </c>
      <c r="H200" s="8" t="n">
        <v>24003</v>
      </c>
      <c r="I200" s="8" t="n">
        <v>63610</v>
      </c>
      <c r="J200" s="9" t="n">
        <f aca="false">H200/I200</f>
        <v>0.377346329193523</v>
      </c>
      <c r="K200" s="10" t="n">
        <v>0.199</v>
      </c>
      <c r="L200" s="8" t="n">
        <v>25898</v>
      </c>
      <c r="M200" s="9" t="n">
        <f aca="false">L200/I200</f>
        <v>0.407137242571923</v>
      </c>
      <c r="N200" s="8" t="n">
        <v>26155</v>
      </c>
      <c r="O200" s="2" t="n">
        <v>0.72</v>
      </c>
      <c r="P200" s="2" t="n">
        <v>0.36</v>
      </c>
      <c r="Q200" s="10" t="n">
        <f aca="false">L200/H200-1</f>
        <v>0.0789484647752365</v>
      </c>
      <c r="R200" s="10" t="n">
        <f aca="false">ABS(Q200)</f>
        <v>0.0789484647752365</v>
      </c>
      <c r="S200" s="2" t="s">
        <v>43</v>
      </c>
      <c r="T200" s="2" t="n">
        <v>0.22</v>
      </c>
      <c r="U200" s="2" t="n">
        <v>1.009</v>
      </c>
    </row>
    <row r="201" customFormat="false" ht="15" hidden="false" customHeight="false" outlineLevel="0" collapsed="false">
      <c r="A201" s="2" t="s">
        <v>185</v>
      </c>
      <c r="B201" s="2" t="s">
        <v>64</v>
      </c>
      <c r="C201" s="2" t="s">
        <v>39</v>
      </c>
      <c r="D201" s="2" t="s">
        <v>40</v>
      </c>
      <c r="E201" s="2" t="n">
        <v>31</v>
      </c>
      <c r="F201" s="2" t="s">
        <v>187</v>
      </c>
      <c r="G201" s="2" t="s">
        <v>186</v>
      </c>
      <c r="H201" s="8" t="n">
        <v>52510</v>
      </c>
      <c r="I201" s="8" t="n">
        <v>171945</v>
      </c>
      <c r="J201" s="9" t="n">
        <f aca="false">H201/I201</f>
        <v>0.305388350926168</v>
      </c>
      <c r="K201" s="10" t="n">
        <v>0.215</v>
      </c>
      <c r="L201" s="8" t="n">
        <v>52575</v>
      </c>
      <c r="M201" s="9" t="n">
        <f aca="false">L201/I201</f>
        <v>0.305766378783913</v>
      </c>
      <c r="N201" s="8" t="n">
        <v>52847</v>
      </c>
      <c r="O201" s="2" t="n">
        <v>0.72</v>
      </c>
      <c r="P201" s="2" t="n">
        <v>0.36</v>
      </c>
      <c r="Q201" s="10" t="n">
        <f aca="false">L201/H201-1</f>
        <v>0.00123785945534194</v>
      </c>
      <c r="R201" s="10" t="n">
        <f aca="false">ABS(Q201)</f>
        <v>0.00123785945534194</v>
      </c>
      <c r="S201" s="2" t="s">
        <v>43</v>
      </c>
      <c r="T201" s="2" t="n">
        <v>0.39</v>
      </c>
      <c r="U201" s="2" t="n">
        <v>1.084</v>
      </c>
    </row>
    <row r="202" customFormat="false" ht="15" hidden="false" customHeight="false" outlineLevel="0" collapsed="false">
      <c r="A202" s="2" t="s">
        <v>185</v>
      </c>
      <c r="B202" s="2" t="s">
        <v>65</v>
      </c>
      <c r="C202" s="2" t="s">
        <v>39</v>
      </c>
      <c r="D202" s="2" t="s">
        <v>40</v>
      </c>
      <c r="E202" s="2" t="n">
        <v>30</v>
      </c>
      <c r="F202" s="2" t="s">
        <v>187</v>
      </c>
      <c r="G202" s="2" t="s">
        <v>186</v>
      </c>
      <c r="H202" s="8" t="n">
        <v>64358</v>
      </c>
      <c r="I202" s="8" t="n">
        <v>217900</v>
      </c>
      <c r="J202" s="9" t="n">
        <f aca="false">H202/I202</f>
        <v>0.295355667737494</v>
      </c>
      <c r="K202" s="10" t="n">
        <v>0.208</v>
      </c>
      <c r="L202" s="8" t="n">
        <v>63297</v>
      </c>
      <c r="M202" s="9" t="n">
        <f aca="false">L202/I202</f>
        <v>0.29048646167967</v>
      </c>
      <c r="N202" s="8" t="n">
        <v>61506</v>
      </c>
      <c r="O202" s="2" t="n">
        <v>0.72</v>
      </c>
      <c r="P202" s="2" t="n">
        <v>0.36</v>
      </c>
      <c r="Q202" s="10" t="n">
        <f aca="false">L202/H202-1</f>
        <v>-0.0164859069579539</v>
      </c>
      <c r="R202" s="10" t="n">
        <f aca="false">ABS(Q202)</f>
        <v>0.0164859069579539</v>
      </c>
      <c r="S202" s="2" t="s">
        <v>43</v>
      </c>
      <c r="T202" s="2" t="n">
        <v>0.51</v>
      </c>
      <c r="U202" s="2" t="n">
        <v>1.25</v>
      </c>
    </row>
    <row r="203" customFormat="false" ht="15" hidden="false" customHeight="false" outlineLevel="0" collapsed="false">
      <c r="A203" s="2" t="s">
        <v>185</v>
      </c>
      <c r="B203" s="2" t="s">
        <v>66</v>
      </c>
      <c r="C203" s="2" t="s">
        <v>39</v>
      </c>
      <c r="D203" s="2" t="s">
        <v>40</v>
      </c>
      <c r="E203" s="2" t="n">
        <v>31</v>
      </c>
      <c r="F203" s="2" t="s">
        <v>187</v>
      </c>
      <c r="G203" s="2" t="s">
        <v>186</v>
      </c>
      <c r="H203" s="8" t="n">
        <v>28651</v>
      </c>
      <c r="I203" s="8" t="n">
        <v>81347</v>
      </c>
      <c r="J203" s="9" t="n">
        <f aca="false">H203/I203</f>
        <v>0.352207211083384</v>
      </c>
      <c r="K203" s="10" t="n">
        <v>0.261</v>
      </c>
      <c r="L203" s="8" t="n">
        <v>30041</v>
      </c>
      <c r="M203" s="9" t="n">
        <f aca="false">L203/I203</f>
        <v>0.369294503792396</v>
      </c>
      <c r="N203" s="8" t="n">
        <v>28382</v>
      </c>
      <c r="O203" s="2" t="n">
        <v>0.57</v>
      </c>
      <c r="P203" s="2" t="n">
        <v>0.34</v>
      </c>
      <c r="Q203" s="10" t="n">
        <f aca="false">L203/H203-1</f>
        <v>0.0485148860423721</v>
      </c>
      <c r="R203" s="10" t="n">
        <f aca="false">ABS(Q203)</f>
        <v>0.0485148860423721</v>
      </c>
      <c r="S203" s="2" t="s">
        <v>43</v>
      </c>
      <c r="T203" s="2" t="n">
        <v>0.24</v>
      </c>
      <c r="U203" s="2" t="n">
        <v>1.25</v>
      </c>
    </row>
    <row r="204" customFormat="false" ht="15" hidden="false" customHeight="false" outlineLevel="0" collapsed="false">
      <c r="A204" s="2" t="s">
        <v>185</v>
      </c>
      <c r="B204" s="2" t="s">
        <v>67</v>
      </c>
      <c r="C204" s="2" t="s">
        <v>39</v>
      </c>
      <c r="D204" s="2" t="s">
        <v>40</v>
      </c>
      <c r="E204" s="2" t="n">
        <v>31</v>
      </c>
      <c r="F204" s="2" t="s">
        <v>188</v>
      </c>
      <c r="G204" s="2" t="s">
        <v>189</v>
      </c>
      <c r="H204" s="8" t="n">
        <v>15209</v>
      </c>
      <c r="I204" s="8" t="n">
        <v>29151</v>
      </c>
      <c r="J204" s="9" t="n">
        <f aca="false">H204/I204</f>
        <v>0.521731673012933</v>
      </c>
      <c r="K204" s="10" t="n">
        <v>0.337</v>
      </c>
      <c r="L204" s="8" t="n">
        <v>15937</v>
      </c>
      <c r="M204" s="9" t="n">
        <f aca="false">L204/I204</f>
        <v>0.546705087304038</v>
      </c>
      <c r="N204" s="8" t="n">
        <v>16412</v>
      </c>
      <c r="O204" s="2" t="n">
        <v>0.57</v>
      </c>
      <c r="P204" s="2" t="n">
        <v>0.34</v>
      </c>
      <c r="Q204" s="10" t="n">
        <f aca="false">L204/H204-1</f>
        <v>0.047866394897758</v>
      </c>
      <c r="R204" s="10" t="n">
        <f aca="false">ABS(Q204)</f>
        <v>0.047866394897758</v>
      </c>
      <c r="S204" s="2" t="s">
        <v>43</v>
      </c>
      <c r="T204" s="2" t="n">
        <v>0.2</v>
      </c>
      <c r="U204" s="2" t="n">
        <v>1.25</v>
      </c>
    </row>
    <row r="205" customFormat="false" ht="15" hidden="false" customHeight="false" outlineLevel="0" collapsed="false">
      <c r="A205" s="2" t="s">
        <v>185</v>
      </c>
      <c r="B205" s="2" t="s">
        <v>68</v>
      </c>
      <c r="C205" s="2" t="s">
        <v>39</v>
      </c>
      <c r="D205" s="2" t="s">
        <v>40</v>
      </c>
      <c r="E205" s="2" t="n">
        <v>30</v>
      </c>
      <c r="F205" s="2" t="s">
        <v>190</v>
      </c>
      <c r="G205" s="2" t="s">
        <v>191</v>
      </c>
      <c r="H205" s="8" t="n">
        <v>14732</v>
      </c>
      <c r="I205" s="8" t="n">
        <v>27465</v>
      </c>
      <c r="J205" s="9" t="n">
        <f aca="false">H205/I205</f>
        <v>0.536391771345349</v>
      </c>
      <c r="K205" s="10" t="n">
        <v>0.298</v>
      </c>
      <c r="L205" s="8" t="n">
        <v>15219</v>
      </c>
      <c r="M205" s="9" t="n">
        <f aca="false">L205/I205</f>
        <v>0.554123429819771</v>
      </c>
      <c r="N205" s="8" t="n">
        <v>15126</v>
      </c>
      <c r="O205" s="2" t="n">
        <v>0.57</v>
      </c>
      <c r="P205" s="2" t="n">
        <v>0.34</v>
      </c>
      <c r="Q205" s="10" t="n">
        <f aca="false">L205/H205-1</f>
        <v>0.0330572902525115</v>
      </c>
      <c r="R205" s="10" t="n">
        <f aca="false">ABS(Q205)</f>
        <v>0.0330572902525115</v>
      </c>
      <c r="S205" s="2" t="s">
        <v>43</v>
      </c>
      <c r="T205" s="2" t="n">
        <v>0.19</v>
      </c>
      <c r="U205" s="2" t="n">
        <v>1.25</v>
      </c>
    </row>
    <row r="206" customFormat="false" ht="15" hidden="false" customHeight="false" outlineLevel="0" collapsed="false">
      <c r="A206" s="2" t="s">
        <v>192</v>
      </c>
      <c r="B206" s="2" t="s">
        <v>38</v>
      </c>
      <c r="C206" s="2" t="s">
        <v>39</v>
      </c>
      <c r="D206" s="2" t="s">
        <v>193</v>
      </c>
      <c r="E206" s="2" t="n">
        <v>26</v>
      </c>
      <c r="F206" s="2" t="s">
        <v>194</v>
      </c>
      <c r="G206" s="2" t="s">
        <v>195</v>
      </c>
      <c r="H206" s="8" t="n">
        <v>4410</v>
      </c>
      <c r="I206" s="8" t="n">
        <v>4173</v>
      </c>
      <c r="J206" s="9" t="n">
        <f aca="false">H206/I206</f>
        <v>1.0567936736161</v>
      </c>
      <c r="K206" s="10" t="n">
        <v>0.052</v>
      </c>
      <c r="L206" s="8" t="n">
        <v>2927</v>
      </c>
      <c r="M206" s="9" t="n">
        <f aca="false">L206/I206</f>
        <v>0.701413850946561</v>
      </c>
      <c r="N206" s="8" t="n">
        <v>2884</v>
      </c>
      <c r="O206" s="2" t="n">
        <v>0.48</v>
      </c>
      <c r="P206" s="2" t="n">
        <v>0.24</v>
      </c>
      <c r="Q206" s="10" t="n">
        <f aca="false">L206/H206-1</f>
        <v>-0.336281179138322</v>
      </c>
      <c r="R206" s="10" t="n">
        <f aca="false">ABS(Q206)</f>
        <v>0.336281179138322</v>
      </c>
      <c r="S206" s="2" t="s">
        <v>146</v>
      </c>
      <c r="T206" s="2" t="n">
        <v>0.07</v>
      </c>
      <c r="U206" s="2" t="n">
        <v>1.236</v>
      </c>
    </row>
    <row r="207" customFormat="false" ht="15" hidden="false" customHeight="false" outlineLevel="0" collapsed="false">
      <c r="A207" s="2" t="s">
        <v>192</v>
      </c>
      <c r="B207" s="2" t="s">
        <v>44</v>
      </c>
      <c r="C207" s="2" t="s">
        <v>39</v>
      </c>
      <c r="D207" s="2" t="s">
        <v>193</v>
      </c>
      <c r="E207" s="2" t="n">
        <v>25</v>
      </c>
      <c r="F207" s="2" t="s">
        <v>196</v>
      </c>
      <c r="G207" s="2" t="s">
        <v>195</v>
      </c>
      <c r="H207" s="8" t="n">
        <v>3250</v>
      </c>
      <c r="I207" s="8" t="n">
        <v>3798</v>
      </c>
      <c r="J207" s="9" t="n">
        <f aca="false">H207/I207</f>
        <v>0.855713533438652</v>
      </c>
      <c r="K207" s="10" t="n">
        <v>0.013</v>
      </c>
      <c r="L207" s="8" t="n">
        <v>1991</v>
      </c>
      <c r="M207" s="9" t="n">
        <f aca="false">L207/I207</f>
        <v>0.52422327540811</v>
      </c>
      <c r="N207" s="8" t="n">
        <v>2290</v>
      </c>
      <c r="O207" s="2" t="n">
        <v>0.48</v>
      </c>
      <c r="P207" s="2" t="n">
        <v>0.24</v>
      </c>
      <c r="Q207" s="10" t="n">
        <f aca="false">L207/H207-1</f>
        <v>-0.387384615384615</v>
      </c>
      <c r="R207" s="10" t="n">
        <f aca="false">ABS(Q207)</f>
        <v>0.387384615384615</v>
      </c>
      <c r="S207" s="2" t="s">
        <v>146</v>
      </c>
      <c r="T207" s="2" t="n">
        <v>0.14</v>
      </c>
      <c r="U207" s="2" t="n">
        <v>1.162</v>
      </c>
    </row>
    <row r="208" customFormat="false" ht="15" hidden="false" customHeight="false" outlineLevel="0" collapsed="false">
      <c r="A208" s="2" t="s">
        <v>192</v>
      </c>
      <c r="B208" s="2" t="s">
        <v>46</v>
      </c>
      <c r="C208" s="2" t="s">
        <v>39</v>
      </c>
      <c r="D208" s="2" t="s">
        <v>193</v>
      </c>
      <c r="E208" s="2" t="n">
        <v>31</v>
      </c>
      <c r="F208" s="2" t="s">
        <v>196</v>
      </c>
      <c r="G208" s="2" t="s">
        <v>195</v>
      </c>
      <c r="H208" s="8" t="n">
        <v>3927</v>
      </c>
      <c r="I208" s="8" t="n">
        <v>4331</v>
      </c>
      <c r="J208" s="9" t="n">
        <f aca="false">H208/I208</f>
        <v>0.906719002539829</v>
      </c>
      <c r="K208" s="10" t="n">
        <v>0.02</v>
      </c>
      <c r="L208" s="8" t="n">
        <v>2377</v>
      </c>
      <c r="M208" s="9" t="n">
        <f aca="false">L208/I208</f>
        <v>0.548833987531748</v>
      </c>
      <c r="N208" s="8" t="n">
        <v>2671</v>
      </c>
      <c r="O208" s="2" t="n">
        <v>0.48</v>
      </c>
      <c r="P208" s="2" t="n">
        <v>0.24</v>
      </c>
      <c r="Q208" s="10" t="n">
        <f aca="false">L208/H208-1</f>
        <v>-0.394703335879806</v>
      </c>
      <c r="R208" s="10" t="n">
        <f aca="false">ABS(Q208)</f>
        <v>0.394703335879806</v>
      </c>
      <c r="S208" s="2" t="s">
        <v>146</v>
      </c>
      <c r="T208" s="2" t="n">
        <v>0.12</v>
      </c>
      <c r="U208" s="2" t="n">
        <v>1.038</v>
      </c>
    </row>
    <row r="209" customFormat="false" ht="15" hidden="false" customHeight="false" outlineLevel="0" collapsed="false">
      <c r="A209" s="2" t="s">
        <v>192</v>
      </c>
      <c r="B209" s="2" t="s">
        <v>48</v>
      </c>
      <c r="C209" s="2" t="s">
        <v>39</v>
      </c>
      <c r="D209" s="2" t="s">
        <v>193</v>
      </c>
      <c r="E209" s="2" t="n">
        <v>30</v>
      </c>
      <c r="F209" s="2" t="s">
        <v>197</v>
      </c>
      <c r="G209" s="2" t="s">
        <v>161</v>
      </c>
      <c r="H209" s="8" t="n">
        <v>5807</v>
      </c>
      <c r="I209" s="8" t="n">
        <v>10501</v>
      </c>
      <c r="J209" s="9" t="n">
        <f aca="false">H209/I209</f>
        <v>0.552994952861632</v>
      </c>
      <c r="K209" s="10" t="n">
        <v>0.161</v>
      </c>
      <c r="L209" s="8" t="n">
        <v>4767</v>
      </c>
      <c r="M209" s="9" t="n">
        <f aca="false">L209/I209</f>
        <v>0.453956766022284</v>
      </c>
      <c r="N209" s="8" t="n">
        <v>4983</v>
      </c>
      <c r="O209" s="2" t="n">
        <v>0.48</v>
      </c>
      <c r="P209" s="2" t="n">
        <v>0.24</v>
      </c>
      <c r="Q209" s="10" t="n">
        <f aca="false">L209/H209-1</f>
        <v>-0.179094196659204</v>
      </c>
      <c r="R209" s="10" t="n">
        <f aca="false">ABS(Q209)</f>
        <v>0.179094196659204</v>
      </c>
      <c r="S209" s="2" t="s">
        <v>146</v>
      </c>
      <c r="T209" s="2" t="n">
        <v>0.23</v>
      </c>
      <c r="U209" s="2" t="n">
        <v>1.054</v>
      </c>
    </row>
    <row r="210" customFormat="false" ht="15" hidden="false" customHeight="false" outlineLevel="0" collapsed="false">
      <c r="A210" s="2" t="s">
        <v>192</v>
      </c>
      <c r="B210" s="2" t="s">
        <v>50</v>
      </c>
      <c r="C210" s="2" t="s">
        <v>39</v>
      </c>
      <c r="D210" s="2" t="s">
        <v>193</v>
      </c>
      <c r="E210" s="2" t="n">
        <v>29</v>
      </c>
      <c r="F210" s="2" t="s">
        <v>198</v>
      </c>
      <c r="G210" s="2" t="s">
        <v>161</v>
      </c>
      <c r="H210" s="8" t="n">
        <v>5935</v>
      </c>
      <c r="I210" s="8" t="n">
        <v>16608</v>
      </c>
      <c r="J210" s="9" t="n">
        <f aca="false">H210/I210</f>
        <v>0.357357899807322</v>
      </c>
      <c r="K210" s="10" t="n">
        <v>0.181</v>
      </c>
      <c r="L210" s="8" t="n">
        <v>7508</v>
      </c>
      <c r="M210" s="9" t="n">
        <f aca="false">L210/I210</f>
        <v>0.452071290944123</v>
      </c>
      <c r="N210" s="8" t="n">
        <v>7244</v>
      </c>
      <c r="O210" s="2" t="n">
        <v>0.48</v>
      </c>
      <c r="P210" s="2" t="n">
        <v>0.24</v>
      </c>
      <c r="Q210" s="10" t="n">
        <f aca="false">L210/H210-1</f>
        <v>0.265037910699242</v>
      </c>
      <c r="R210" s="10" t="n">
        <f aca="false">ABS(Q210)</f>
        <v>0.265037910699242</v>
      </c>
      <c r="S210" s="2" t="s">
        <v>146</v>
      </c>
      <c r="T210" s="2" t="n">
        <v>0.2</v>
      </c>
      <c r="U210" s="2" t="n">
        <v>1.25</v>
      </c>
    </row>
    <row r="211" customFormat="false" ht="15" hidden="false" customHeight="false" outlineLevel="0" collapsed="false">
      <c r="A211" s="2" t="s">
        <v>192</v>
      </c>
      <c r="B211" s="2" t="s">
        <v>53</v>
      </c>
      <c r="C211" s="2" t="s">
        <v>39</v>
      </c>
      <c r="D211" s="2" t="s">
        <v>193</v>
      </c>
      <c r="E211" s="2" t="n">
        <v>31</v>
      </c>
      <c r="F211" s="2" t="s">
        <v>198</v>
      </c>
      <c r="G211" s="2" t="s">
        <v>159</v>
      </c>
      <c r="H211" s="8" t="n">
        <v>10959</v>
      </c>
      <c r="I211" s="8" t="n">
        <v>20227</v>
      </c>
      <c r="J211" s="9" t="n">
        <f aca="false">H211/I211</f>
        <v>0.541800563603105</v>
      </c>
      <c r="K211" s="10" t="n">
        <v>0.132</v>
      </c>
      <c r="L211" s="8" t="n">
        <v>10456</v>
      </c>
      <c r="M211" s="9" t="n">
        <f aca="false">L211/I211</f>
        <v>0.516932812577248</v>
      </c>
      <c r="N211" s="8" t="n">
        <v>9828</v>
      </c>
      <c r="O211" s="2" t="n">
        <v>0.45</v>
      </c>
      <c r="P211" s="2" t="n">
        <v>0.05</v>
      </c>
      <c r="Q211" s="10" t="n">
        <f aca="false">L211/H211-1</f>
        <v>-0.0458983483894516</v>
      </c>
      <c r="R211" s="10" t="n">
        <f aca="false">ABS(Q211)</f>
        <v>0.0458983483894516</v>
      </c>
      <c r="S211" s="2" t="s">
        <v>43</v>
      </c>
      <c r="T211" s="2" t="n">
        <v>0.17</v>
      </c>
      <c r="U211" s="2" t="n">
        <v>1.037</v>
      </c>
    </row>
    <row r="212" customFormat="false" ht="15" hidden="false" customHeight="false" outlineLevel="0" collapsed="false">
      <c r="A212" s="2" t="s">
        <v>192</v>
      </c>
      <c r="B212" s="2" t="s">
        <v>54</v>
      </c>
      <c r="C212" s="2" t="s">
        <v>39</v>
      </c>
      <c r="D212" s="2" t="s">
        <v>193</v>
      </c>
      <c r="E212" s="2" t="n">
        <v>30</v>
      </c>
      <c r="F212" s="2" t="s">
        <v>158</v>
      </c>
      <c r="G212" s="2" t="s">
        <v>159</v>
      </c>
      <c r="H212" s="8" t="n">
        <v>9031</v>
      </c>
      <c r="I212" s="8" t="n">
        <v>15855</v>
      </c>
      <c r="J212" s="9" t="n">
        <f aca="false">H212/I212</f>
        <v>0.56959949542731</v>
      </c>
      <c r="K212" s="10" t="n">
        <v>0.137</v>
      </c>
      <c r="L212" s="8" t="n">
        <v>8041</v>
      </c>
      <c r="M212" s="9" t="n">
        <f aca="false">L212/I212</f>
        <v>0.50715862503942</v>
      </c>
      <c r="N212" s="8" t="n">
        <v>8213</v>
      </c>
      <c r="O212" s="2" t="n">
        <v>0.45</v>
      </c>
      <c r="P212" s="2" t="n">
        <v>0.05</v>
      </c>
      <c r="Q212" s="10" t="n">
        <f aca="false">L212/H212-1</f>
        <v>-0.109622411693057</v>
      </c>
      <c r="R212" s="10" t="n">
        <f aca="false">ABS(Q212)</f>
        <v>0.109622411693057</v>
      </c>
      <c r="S212" s="2" t="s">
        <v>43</v>
      </c>
      <c r="T212" s="2" t="n">
        <v>0.18</v>
      </c>
      <c r="U212" s="2" t="n">
        <v>0.98</v>
      </c>
    </row>
    <row r="213" customFormat="false" ht="15" hidden="false" customHeight="false" outlineLevel="0" collapsed="false">
      <c r="A213" s="2" t="s">
        <v>192</v>
      </c>
      <c r="B213" s="2" t="s">
        <v>57</v>
      </c>
      <c r="C213" s="2" t="s">
        <v>39</v>
      </c>
      <c r="D213" s="2" t="s">
        <v>193</v>
      </c>
      <c r="E213" s="2" t="n">
        <v>31</v>
      </c>
      <c r="F213" s="2" t="s">
        <v>198</v>
      </c>
      <c r="G213" s="2" t="s">
        <v>159</v>
      </c>
      <c r="H213" s="8" t="n">
        <v>6373</v>
      </c>
      <c r="I213" s="8" t="n">
        <v>11141</v>
      </c>
      <c r="J213" s="9" t="n">
        <f aca="false">H213/I213</f>
        <v>0.572031235975227</v>
      </c>
      <c r="K213" s="10" t="n">
        <v>0.18</v>
      </c>
      <c r="L213" s="8" t="n">
        <v>5939</v>
      </c>
      <c r="M213" s="9" t="n">
        <f aca="false">L213/I213</f>
        <v>0.533076025491428</v>
      </c>
      <c r="N213" s="8" t="n">
        <v>5944</v>
      </c>
      <c r="O213" s="2" t="n">
        <v>0.48</v>
      </c>
      <c r="P213" s="2" t="n">
        <v>0.24</v>
      </c>
      <c r="Q213" s="10" t="n">
        <f aca="false">L213/H213-1</f>
        <v>-0.0680997960144359</v>
      </c>
      <c r="R213" s="10" t="n">
        <f aca="false">ABS(Q213)</f>
        <v>0.0680997960144359</v>
      </c>
      <c r="S213" s="2" t="s">
        <v>146</v>
      </c>
      <c r="T213" s="2" t="n">
        <v>0.15</v>
      </c>
      <c r="U213" s="2" t="n">
        <v>1.012</v>
      </c>
    </row>
    <row r="214" customFormat="false" ht="15" hidden="false" customHeight="false" outlineLevel="0" collapsed="false">
      <c r="A214" s="2" t="s">
        <v>192</v>
      </c>
      <c r="B214" s="2" t="s">
        <v>58</v>
      </c>
      <c r="C214" s="2" t="s">
        <v>39</v>
      </c>
      <c r="D214" s="2" t="s">
        <v>193</v>
      </c>
      <c r="E214" s="2" t="n">
        <v>30</v>
      </c>
      <c r="F214" s="2" t="s">
        <v>198</v>
      </c>
      <c r="G214" s="2" t="s">
        <v>159</v>
      </c>
      <c r="H214" s="8" t="n">
        <v>5857</v>
      </c>
      <c r="I214" s="8" t="n">
        <v>7626</v>
      </c>
      <c r="J214" s="9" t="n">
        <f aca="false">H214/I214</f>
        <v>0.768030422239706</v>
      </c>
      <c r="K214" s="10" t="n">
        <v>0.131</v>
      </c>
      <c r="L214" s="8" t="n">
        <v>4932</v>
      </c>
      <c r="M214" s="9" t="n">
        <f aca="false">L214/I214</f>
        <v>0.646734854445319</v>
      </c>
      <c r="N214" s="8" t="n">
        <v>4937</v>
      </c>
      <c r="O214" s="2" t="n">
        <v>0.48</v>
      </c>
      <c r="P214" s="2" t="n">
        <v>0.24</v>
      </c>
      <c r="Q214" s="10" t="n">
        <f aca="false">L214/H214-1</f>
        <v>-0.157930681236128</v>
      </c>
      <c r="R214" s="10" t="n">
        <f aca="false">ABS(Q214)</f>
        <v>0.157930681236128</v>
      </c>
      <c r="S214" s="2" t="s">
        <v>146</v>
      </c>
      <c r="T214" s="2" t="n">
        <v>0.11</v>
      </c>
      <c r="U214" s="2" t="n">
        <v>1.061</v>
      </c>
    </row>
    <row r="215" customFormat="false" ht="15" hidden="false" customHeight="false" outlineLevel="0" collapsed="false">
      <c r="A215" s="2" t="s">
        <v>192</v>
      </c>
      <c r="B215" s="2" t="s">
        <v>59</v>
      </c>
      <c r="C215" s="2" t="s">
        <v>39</v>
      </c>
      <c r="D215" s="2" t="s">
        <v>193</v>
      </c>
      <c r="E215" s="2" t="n">
        <v>31</v>
      </c>
      <c r="F215" s="2" t="s">
        <v>198</v>
      </c>
      <c r="G215" s="2" t="s">
        <v>159</v>
      </c>
      <c r="H215" s="8" t="n">
        <v>4819</v>
      </c>
      <c r="I215" s="8" t="n">
        <v>4730</v>
      </c>
      <c r="J215" s="9" t="n">
        <f aca="false">H215/I215</f>
        <v>1.01881606765328</v>
      </c>
      <c r="K215" s="10" t="n">
        <v>0.023</v>
      </c>
      <c r="L215" s="8" t="n">
        <v>4194</v>
      </c>
      <c r="M215" s="9" t="n">
        <f aca="false">L215/I215</f>
        <v>0.886680761099366</v>
      </c>
      <c r="N215" s="8" t="n">
        <v>4136</v>
      </c>
      <c r="O215" s="2" t="n">
        <v>0.48</v>
      </c>
      <c r="P215" s="2" t="n">
        <v>0.24</v>
      </c>
      <c r="Q215" s="10" t="n">
        <f aca="false">L215/H215-1</f>
        <v>-0.129694957460054</v>
      </c>
      <c r="R215" s="10" t="n">
        <f aca="false">ABS(Q215)</f>
        <v>0.129694957460054</v>
      </c>
      <c r="S215" s="2" t="s">
        <v>146</v>
      </c>
      <c r="T215" s="2" t="n">
        <v>0.07</v>
      </c>
      <c r="U215" s="2" t="n">
        <v>0.98</v>
      </c>
    </row>
    <row r="216" customFormat="false" ht="15" hidden="false" customHeight="false" outlineLevel="0" collapsed="false">
      <c r="A216" s="2" t="s">
        <v>192</v>
      </c>
      <c r="B216" s="2" t="s">
        <v>60</v>
      </c>
      <c r="C216" s="2" t="s">
        <v>39</v>
      </c>
      <c r="D216" s="2" t="s">
        <v>193</v>
      </c>
      <c r="E216" s="2" t="n">
        <v>31</v>
      </c>
      <c r="F216" s="2" t="s">
        <v>198</v>
      </c>
      <c r="G216" s="2" t="s">
        <v>159</v>
      </c>
      <c r="H216" s="8" t="n">
        <v>5258</v>
      </c>
      <c r="I216" s="8" t="n">
        <v>3990</v>
      </c>
      <c r="J216" s="9" t="n">
        <f aca="false">H216/I216</f>
        <v>1.31779448621554</v>
      </c>
      <c r="K216" s="10" t="n">
        <v>0.021</v>
      </c>
      <c r="L216" s="8" t="n">
        <v>3966</v>
      </c>
      <c r="M216" s="9" t="n">
        <f aca="false">L216/I216</f>
        <v>0.993984962406015</v>
      </c>
      <c r="N216" s="8" t="n">
        <v>3957</v>
      </c>
      <c r="O216" s="2" t="n">
        <v>0.48</v>
      </c>
      <c r="P216" s="2" t="n">
        <v>0.24</v>
      </c>
      <c r="Q216" s="10" t="n">
        <f aca="false">L216/H216-1</f>
        <v>-0.245720806390263</v>
      </c>
      <c r="R216" s="10" t="n">
        <f aca="false">ABS(Q216)</f>
        <v>0.245720806390263</v>
      </c>
      <c r="S216" s="2" t="s">
        <v>146</v>
      </c>
      <c r="T216" s="2" t="n">
        <v>0.06</v>
      </c>
      <c r="U216" s="2" t="n">
        <v>1.048</v>
      </c>
    </row>
    <row r="217" customFormat="false" ht="15" hidden="false" customHeight="false" outlineLevel="0" collapsed="false">
      <c r="A217" s="2" t="s">
        <v>192</v>
      </c>
      <c r="B217" s="2" t="s">
        <v>61</v>
      </c>
      <c r="C217" s="2" t="s">
        <v>39</v>
      </c>
      <c r="D217" s="2" t="s">
        <v>193</v>
      </c>
      <c r="E217" s="2" t="n">
        <v>28</v>
      </c>
      <c r="F217" s="2" t="s">
        <v>198</v>
      </c>
      <c r="G217" s="2" t="s">
        <v>159</v>
      </c>
      <c r="H217" s="8" t="n">
        <v>4426</v>
      </c>
      <c r="I217" s="8" t="n">
        <v>3511</v>
      </c>
      <c r="J217" s="9" t="n">
        <f aca="false">H217/I217</f>
        <v>1.26060951295927</v>
      </c>
      <c r="K217" s="10" t="n">
        <v>0.031</v>
      </c>
      <c r="L217" s="8" t="n">
        <v>3525</v>
      </c>
      <c r="M217" s="9" t="n">
        <f aca="false">L217/I217</f>
        <v>1.00398746795785</v>
      </c>
      <c r="N217" s="8" t="n">
        <v>3523</v>
      </c>
      <c r="O217" s="2" t="n">
        <v>0.48</v>
      </c>
      <c r="P217" s="2" t="n">
        <v>0.24</v>
      </c>
      <c r="Q217" s="10" t="n">
        <f aca="false">L217/H217-1</f>
        <v>-0.203569814731134</v>
      </c>
      <c r="R217" s="10" t="n">
        <f aca="false">ABS(Q217)</f>
        <v>0.203569814731134</v>
      </c>
      <c r="S217" s="2" t="s">
        <v>146</v>
      </c>
      <c r="T217" s="2" t="n">
        <v>0.05</v>
      </c>
      <c r="U217" s="2" t="n">
        <v>1.002</v>
      </c>
    </row>
    <row r="218" customFormat="false" ht="15" hidden="false" customHeight="false" outlineLevel="0" collapsed="false">
      <c r="A218" s="2" t="s">
        <v>192</v>
      </c>
      <c r="B218" s="2" t="s">
        <v>62</v>
      </c>
      <c r="C218" s="2" t="s">
        <v>39</v>
      </c>
      <c r="D218" s="2" t="s">
        <v>193</v>
      </c>
      <c r="E218" s="2" t="n">
        <v>31</v>
      </c>
      <c r="F218" s="2" t="s">
        <v>198</v>
      </c>
      <c r="G218" s="2" t="s">
        <v>159</v>
      </c>
      <c r="H218" s="8" t="n">
        <v>5091</v>
      </c>
      <c r="I218" s="8" t="n">
        <v>4423</v>
      </c>
      <c r="J218" s="9" t="n">
        <f aca="false">H218/I218</f>
        <v>1.15102871354284</v>
      </c>
      <c r="K218" s="10" t="n">
        <v>0.044</v>
      </c>
      <c r="L218" s="8" t="n">
        <v>4057</v>
      </c>
      <c r="M218" s="9" t="n">
        <f aca="false">L218/I218</f>
        <v>0.917250734795388</v>
      </c>
      <c r="N218" s="8" t="n">
        <v>4069</v>
      </c>
      <c r="O218" s="2" t="n">
        <v>0.48</v>
      </c>
      <c r="P218" s="2" t="n">
        <v>0.24</v>
      </c>
      <c r="Q218" s="10" t="n">
        <f aca="false">L218/H218-1</f>
        <v>-0.203103516008643</v>
      </c>
      <c r="R218" s="10" t="n">
        <f aca="false">ABS(Q218)</f>
        <v>0.203103516008643</v>
      </c>
      <c r="S218" s="2" t="s">
        <v>146</v>
      </c>
      <c r="T218" s="2" t="n">
        <v>0.06</v>
      </c>
      <c r="U218" s="2" t="n">
        <v>1.03</v>
      </c>
    </row>
    <row r="219" customFormat="false" ht="15" hidden="false" customHeight="false" outlineLevel="0" collapsed="false">
      <c r="A219" s="2" t="s">
        <v>192</v>
      </c>
      <c r="B219" s="2" t="s">
        <v>63</v>
      </c>
      <c r="C219" s="2" t="s">
        <v>39</v>
      </c>
      <c r="D219" s="2" t="s">
        <v>193</v>
      </c>
      <c r="E219" s="2" t="n">
        <v>30</v>
      </c>
      <c r="F219" s="2" t="s">
        <v>198</v>
      </c>
      <c r="G219" s="2" t="s">
        <v>159</v>
      </c>
      <c r="H219" s="8" t="n">
        <v>5583</v>
      </c>
      <c r="I219" s="8" t="n">
        <v>6683</v>
      </c>
      <c r="J219" s="9" t="n">
        <f aca="false">H219/I219</f>
        <v>0.83540326200808</v>
      </c>
      <c r="K219" s="10" t="n">
        <v>0.134</v>
      </c>
      <c r="L219" s="8" t="n">
        <v>4549</v>
      </c>
      <c r="M219" s="9" t="n">
        <f aca="false">L219/I219</f>
        <v>0.680682328295676</v>
      </c>
      <c r="N219" s="8" t="n">
        <v>4550</v>
      </c>
      <c r="O219" s="2" t="n">
        <v>0.47</v>
      </c>
      <c r="P219" s="2" t="n">
        <v>0.24</v>
      </c>
      <c r="Q219" s="10" t="n">
        <f aca="false">L219/H219-1</f>
        <v>-0.185205086870858</v>
      </c>
      <c r="R219" s="10" t="n">
        <f aca="false">ABS(Q219)</f>
        <v>0.185205086870858</v>
      </c>
      <c r="S219" s="2" t="s">
        <v>43</v>
      </c>
      <c r="T219" s="2" t="n">
        <v>0.1</v>
      </c>
      <c r="U219" s="2" t="n">
        <v>1.018</v>
      </c>
    </row>
    <row r="220" customFormat="false" ht="15" hidden="false" customHeight="false" outlineLevel="0" collapsed="false">
      <c r="A220" s="2" t="s">
        <v>192</v>
      </c>
      <c r="B220" s="2" t="s">
        <v>64</v>
      </c>
      <c r="C220" s="2" t="s">
        <v>39</v>
      </c>
      <c r="D220" s="2" t="s">
        <v>193</v>
      </c>
      <c r="E220" s="2" t="n">
        <v>31</v>
      </c>
      <c r="F220" s="2" t="s">
        <v>198</v>
      </c>
      <c r="G220" s="2" t="s">
        <v>159</v>
      </c>
      <c r="H220" s="8" t="n">
        <v>6744</v>
      </c>
      <c r="I220" s="8" t="n">
        <v>11848</v>
      </c>
      <c r="J220" s="9" t="n">
        <f aca="false">H220/I220</f>
        <v>0.569209993247806</v>
      </c>
      <c r="K220" s="10" t="n">
        <v>0.185</v>
      </c>
      <c r="L220" s="8" t="n">
        <v>6154</v>
      </c>
      <c r="M220" s="9" t="n">
        <f aca="false">L220/I220</f>
        <v>0.519412559081702</v>
      </c>
      <c r="N220" s="8" t="n">
        <v>6314</v>
      </c>
      <c r="O220" s="2" t="n">
        <v>0.47</v>
      </c>
      <c r="P220" s="2" t="n">
        <v>0.24</v>
      </c>
      <c r="Q220" s="10" t="n">
        <f aca="false">L220/H220-1</f>
        <v>-0.0874851720047449</v>
      </c>
      <c r="R220" s="10" t="n">
        <f aca="false">ABS(Q220)</f>
        <v>0.0874851720047449</v>
      </c>
      <c r="S220" s="2" t="s">
        <v>43</v>
      </c>
      <c r="T220" s="2" t="n">
        <v>0.16</v>
      </c>
      <c r="U220" s="2" t="n">
        <v>1.063</v>
      </c>
    </row>
    <row r="221" customFormat="false" ht="15" hidden="false" customHeight="false" outlineLevel="0" collapsed="false">
      <c r="A221" s="2" t="s">
        <v>192</v>
      </c>
      <c r="B221" s="2" t="s">
        <v>65</v>
      </c>
      <c r="C221" s="2" t="s">
        <v>39</v>
      </c>
      <c r="D221" s="2" t="s">
        <v>193</v>
      </c>
      <c r="E221" s="2" t="n">
        <v>30</v>
      </c>
      <c r="F221" s="2" t="s">
        <v>158</v>
      </c>
      <c r="G221" s="2" t="s">
        <v>159</v>
      </c>
      <c r="H221" s="8" t="n">
        <v>8274</v>
      </c>
      <c r="I221" s="8" t="n">
        <v>16326</v>
      </c>
      <c r="J221" s="9" t="n">
        <f aca="false">H221/I221</f>
        <v>0.506798970966557</v>
      </c>
      <c r="K221" s="10" t="n">
        <v>0.176</v>
      </c>
      <c r="L221" s="8" t="n">
        <v>7715</v>
      </c>
      <c r="M221" s="9" t="n">
        <f aca="false">L221/I221</f>
        <v>0.472559108171016</v>
      </c>
      <c r="N221" s="8" t="n">
        <v>7846</v>
      </c>
      <c r="O221" s="2" t="n">
        <v>0.47</v>
      </c>
      <c r="P221" s="2" t="n">
        <v>0.24</v>
      </c>
      <c r="Q221" s="10" t="n">
        <f aca="false">L221/H221-1</f>
        <v>-0.0675610345661107</v>
      </c>
      <c r="R221" s="10" t="n">
        <f aca="false">ABS(Q221)</f>
        <v>0.0675610345661107</v>
      </c>
      <c r="S221" s="2" t="s">
        <v>43</v>
      </c>
      <c r="T221" s="2" t="n">
        <v>0.19</v>
      </c>
      <c r="U221" s="2" t="n">
        <v>1.048</v>
      </c>
    </row>
    <row r="222" customFormat="false" ht="15" hidden="false" customHeight="false" outlineLevel="0" collapsed="false">
      <c r="A222" s="2" t="s">
        <v>192</v>
      </c>
      <c r="B222" s="2" t="s">
        <v>66</v>
      </c>
      <c r="C222" s="2" t="s">
        <v>39</v>
      </c>
      <c r="D222" s="2" t="s">
        <v>193</v>
      </c>
      <c r="E222" s="2" t="n">
        <v>31</v>
      </c>
      <c r="F222" s="2" t="s">
        <v>158</v>
      </c>
      <c r="G222" s="2" t="s">
        <v>159</v>
      </c>
      <c r="H222" s="8" t="n">
        <v>8423</v>
      </c>
      <c r="I222" s="8" t="n">
        <v>18278</v>
      </c>
      <c r="J222" s="9" t="n">
        <f aca="false">H222/I222</f>
        <v>0.460827223985119</v>
      </c>
      <c r="K222" s="10" t="n">
        <v>0.158</v>
      </c>
      <c r="L222" s="8" t="n">
        <v>8497</v>
      </c>
      <c r="M222" s="9" t="n">
        <f aca="false">L222/I222</f>
        <v>0.46487580698107</v>
      </c>
      <c r="N222" s="8" t="n">
        <v>8274</v>
      </c>
      <c r="O222" s="2" t="n">
        <v>0.48</v>
      </c>
      <c r="P222" s="2" t="n">
        <v>0.25</v>
      </c>
      <c r="Q222" s="10" t="n">
        <f aca="false">L222/H222-1</f>
        <v>0.00878546836044158</v>
      </c>
      <c r="R222" s="10" t="n">
        <f aca="false">ABS(Q222)</f>
        <v>0.00878546836044158</v>
      </c>
      <c r="S222" s="2" t="s">
        <v>43</v>
      </c>
      <c r="T222" s="2" t="n">
        <v>0.19</v>
      </c>
      <c r="U222" s="2" t="n">
        <v>1.088</v>
      </c>
    </row>
    <row r="223" customFormat="false" ht="15" hidden="false" customHeight="false" outlineLevel="0" collapsed="false">
      <c r="A223" s="2" t="s">
        <v>199</v>
      </c>
      <c r="B223" s="2" t="s">
        <v>46</v>
      </c>
      <c r="C223" s="2" t="s">
        <v>200</v>
      </c>
      <c r="D223" s="2" t="s">
        <v>40</v>
      </c>
      <c r="E223" s="2" t="n">
        <v>31</v>
      </c>
      <c r="F223" s="2" t="s">
        <v>201</v>
      </c>
      <c r="G223" s="2" t="s">
        <v>202</v>
      </c>
      <c r="H223" s="8" t="n">
        <v>11036</v>
      </c>
      <c r="I223" s="8" t="n">
        <v>24550</v>
      </c>
      <c r="J223" s="9" t="n">
        <f aca="false">H223/I223</f>
        <v>0.449531568228106</v>
      </c>
      <c r="K223" s="10" t="n">
        <v>0</v>
      </c>
      <c r="L223" s="8" t="n">
        <v>9986</v>
      </c>
      <c r="M223" s="9" t="n">
        <f aca="false">L223/I223</f>
        <v>0.406761710794297</v>
      </c>
      <c r="N223" s="8" t="n">
        <v>9686</v>
      </c>
      <c r="O223" s="2" t="n">
        <v>0.45</v>
      </c>
      <c r="P223" s="2" t="n">
        <v>0.3</v>
      </c>
      <c r="Q223" s="10" t="n">
        <f aca="false">L223/H223-1</f>
        <v>-0.0951431678144256</v>
      </c>
      <c r="R223" s="10" t="n">
        <f aca="false">ABS(Q223)</f>
        <v>0.0951431678144256</v>
      </c>
      <c r="S223" s="2" t="s">
        <v>43</v>
      </c>
      <c r="T223" s="2" t="n">
        <v>0.26</v>
      </c>
      <c r="U223" s="2" t="n">
        <v>1.114</v>
      </c>
    </row>
    <row r="224" customFormat="false" ht="15" hidden="false" customHeight="false" outlineLevel="0" collapsed="false">
      <c r="A224" s="2" t="s">
        <v>199</v>
      </c>
      <c r="B224" s="2" t="s">
        <v>76</v>
      </c>
      <c r="C224" s="2" t="s">
        <v>200</v>
      </c>
      <c r="D224" s="2" t="s">
        <v>40</v>
      </c>
      <c r="E224" s="2" t="n">
        <v>31</v>
      </c>
      <c r="F224" s="2" t="s">
        <v>158</v>
      </c>
      <c r="G224" s="2" t="s">
        <v>159</v>
      </c>
      <c r="H224" s="8" t="n">
        <v>13951</v>
      </c>
      <c r="I224" s="8" t="n">
        <v>40971</v>
      </c>
      <c r="J224" s="9" t="n">
        <f aca="false">H224/I224</f>
        <v>0.340509140611652</v>
      </c>
      <c r="K224" s="10" t="n">
        <v>0</v>
      </c>
      <c r="L224" s="8" t="n">
        <v>14824</v>
      </c>
      <c r="M224" s="9" t="n">
        <f aca="false">L224/I224</f>
        <v>0.361816894876864</v>
      </c>
      <c r="N224" s="8" t="n">
        <v>16038</v>
      </c>
      <c r="O224" s="2" t="n">
        <v>0.56</v>
      </c>
      <c r="P224" s="2" t="n">
        <v>0.28</v>
      </c>
      <c r="Q224" s="10" t="n">
        <f aca="false">L224/H224-1</f>
        <v>0.0625761594150958</v>
      </c>
      <c r="R224" s="10" t="n">
        <f aca="false">ABS(Q224)</f>
        <v>0.0625761594150958</v>
      </c>
      <c r="S224" s="2" t="s">
        <v>43</v>
      </c>
      <c r="T224" s="2" t="n">
        <v>0.41</v>
      </c>
      <c r="U224" s="2" t="n">
        <v>0.982</v>
      </c>
    </row>
    <row r="225" customFormat="false" ht="15" hidden="false" customHeight="false" outlineLevel="0" collapsed="false">
      <c r="A225" s="2" t="s">
        <v>203</v>
      </c>
      <c r="B225" s="2" t="s">
        <v>38</v>
      </c>
      <c r="C225" s="2" t="s">
        <v>200</v>
      </c>
      <c r="D225" s="2" t="s">
        <v>140</v>
      </c>
      <c r="E225" s="2" t="n">
        <v>20</v>
      </c>
      <c r="F225" s="2" t="s">
        <v>204</v>
      </c>
      <c r="G225" s="2" t="s">
        <v>205</v>
      </c>
      <c r="H225" s="8" t="n">
        <v>8426</v>
      </c>
      <c r="I225" s="8" t="n">
        <v>24856</v>
      </c>
      <c r="J225" s="9" t="n">
        <f aca="false">H225/I225</f>
        <v>0.338992597360798</v>
      </c>
      <c r="K225" s="10" t="n">
        <v>0.161</v>
      </c>
      <c r="L225" s="8" t="n">
        <v>9524</v>
      </c>
      <c r="M225" s="9" t="n">
        <f aca="false">L225/I225</f>
        <v>0.383167042162858</v>
      </c>
      <c r="N225" s="8" t="n">
        <v>9903</v>
      </c>
      <c r="O225" s="2" t="n">
        <v>0.48</v>
      </c>
      <c r="P225" s="2" t="n">
        <v>0.13</v>
      </c>
      <c r="Q225" s="10" t="n">
        <f aca="false">L225/H225-1</f>
        <v>0.130310942321386</v>
      </c>
      <c r="R225" s="10" t="n">
        <f aca="false">ABS(Q225)</f>
        <v>0.130310942321386</v>
      </c>
      <c r="S225" s="2" t="s">
        <v>43</v>
      </c>
      <c r="T225" s="2" t="n">
        <v>0.32</v>
      </c>
      <c r="U225" s="2" t="n">
        <v>1.024</v>
      </c>
    </row>
    <row r="226" customFormat="false" ht="15" hidden="false" customHeight="false" outlineLevel="0" collapsed="false">
      <c r="A226" s="2" t="s">
        <v>203</v>
      </c>
      <c r="B226" s="2" t="s">
        <v>44</v>
      </c>
      <c r="C226" s="2" t="s">
        <v>200</v>
      </c>
      <c r="D226" s="2" t="s">
        <v>140</v>
      </c>
      <c r="E226" s="2" t="n">
        <v>25</v>
      </c>
      <c r="F226" s="2" t="s">
        <v>204</v>
      </c>
      <c r="G226" s="2" t="s">
        <v>205</v>
      </c>
      <c r="H226" s="8" t="n">
        <v>10090</v>
      </c>
      <c r="I226" s="8" t="n">
        <v>25969</v>
      </c>
      <c r="J226" s="9" t="n">
        <f aca="false">H226/I226</f>
        <v>0.388540182525319</v>
      </c>
      <c r="K226" s="10" t="n">
        <v>0.178</v>
      </c>
      <c r="L226" s="8" t="n">
        <v>12268</v>
      </c>
      <c r="M226" s="9" t="n">
        <f aca="false">L226/I226</f>
        <v>0.472409411221071</v>
      </c>
      <c r="N226" s="8" t="n">
        <v>11825</v>
      </c>
      <c r="O226" s="2" t="n">
        <v>0.48</v>
      </c>
      <c r="P226" s="2" t="n">
        <v>0.13</v>
      </c>
      <c r="Q226" s="10" t="n">
        <f aca="false">L226/H226-1</f>
        <v>0.21585728444004</v>
      </c>
      <c r="R226" s="10" t="n">
        <f aca="false">ABS(Q226)</f>
        <v>0.21585728444004</v>
      </c>
      <c r="S226" s="2" t="s">
        <v>43</v>
      </c>
      <c r="T226" s="2" t="n">
        <v>0.26</v>
      </c>
      <c r="U226" s="2" t="n">
        <v>1.242</v>
      </c>
    </row>
    <row r="227" customFormat="false" ht="15" hidden="false" customHeight="false" outlineLevel="0" collapsed="false">
      <c r="A227" s="2" t="s">
        <v>203</v>
      </c>
      <c r="B227" s="2" t="s">
        <v>46</v>
      </c>
      <c r="C227" s="2" t="s">
        <v>200</v>
      </c>
      <c r="D227" s="2" t="s">
        <v>140</v>
      </c>
      <c r="E227" s="2" t="n">
        <v>31</v>
      </c>
      <c r="F227" s="2" t="s">
        <v>204</v>
      </c>
      <c r="G227" s="2" t="s">
        <v>205</v>
      </c>
      <c r="H227" s="8" t="n">
        <v>9466</v>
      </c>
      <c r="I227" s="8" t="n">
        <v>24131</v>
      </c>
      <c r="J227" s="9" t="n">
        <f aca="false">H227/I227</f>
        <v>0.392275496249637</v>
      </c>
      <c r="K227" s="10" t="n">
        <v>0.25</v>
      </c>
      <c r="L227" s="8" t="n">
        <v>9944</v>
      </c>
      <c r="M227" s="9" t="n">
        <f aca="false">L227/I227</f>
        <v>0.412084041274709</v>
      </c>
      <c r="N227" s="8" t="n">
        <v>10339</v>
      </c>
      <c r="O227" s="2" t="n">
        <v>0.48</v>
      </c>
      <c r="P227" s="2" t="n">
        <v>0.13</v>
      </c>
      <c r="Q227" s="10" t="n">
        <f aca="false">L227/H227-1</f>
        <v>0.0504965138390028</v>
      </c>
      <c r="R227" s="10" t="n">
        <f aca="false">ABS(Q227)</f>
        <v>0.0504965138390028</v>
      </c>
      <c r="S227" s="2" t="s">
        <v>43</v>
      </c>
      <c r="T227" s="2" t="n">
        <v>0.29</v>
      </c>
      <c r="U227" s="2" t="n">
        <v>0.954</v>
      </c>
    </row>
    <row r="228" customFormat="false" ht="15" hidden="false" customHeight="false" outlineLevel="0" collapsed="false">
      <c r="A228" s="2" t="s">
        <v>203</v>
      </c>
      <c r="B228" s="2" t="s">
        <v>54</v>
      </c>
      <c r="C228" s="2" t="s">
        <v>200</v>
      </c>
      <c r="D228" s="2" t="s">
        <v>140</v>
      </c>
      <c r="E228" s="2" t="n">
        <v>30</v>
      </c>
      <c r="F228" s="2" t="s">
        <v>206</v>
      </c>
      <c r="G228" s="2" t="s">
        <v>207</v>
      </c>
      <c r="H228" s="8" t="n">
        <v>25274</v>
      </c>
      <c r="I228" s="8" t="n">
        <v>70621</v>
      </c>
      <c r="J228" s="9" t="n">
        <f aca="false">H228/I228</f>
        <v>0.357882216337917</v>
      </c>
      <c r="K228" s="10" t="n">
        <v>0.162</v>
      </c>
      <c r="L228" s="8" t="n">
        <v>22781</v>
      </c>
      <c r="M228" s="9" t="n">
        <f aca="false">L228/I228</f>
        <v>0.322581101938517</v>
      </c>
      <c r="N228" s="8" t="n">
        <v>24523</v>
      </c>
      <c r="O228" s="2" t="n">
        <v>0.55</v>
      </c>
      <c r="P228" s="2" t="n">
        <v>0.36</v>
      </c>
      <c r="Q228" s="10" t="n">
        <f aca="false">L228/H228-1</f>
        <v>-0.0986389174645881</v>
      </c>
      <c r="R228" s="10" t="n">
        <f aca="false">ABS(Q228)</f>
        <v>0.0986389174645881</v>
      </c>
      <c r="S228" s="2" t="s">
        <v>43</v>
      </c>
      <c r="T228" s="2" t="n">
        <v>0.42</v>
      </c>
      <c r="U228" s="2" t="n">
        <v>0.968</v>
      </c>
    </row>
    <row r="229" customFormat="false" ht="15" hidden="false" customHeight="false" outlineLevel="0" collapsed="false">
      <c r="A229" s="2" t="s">
        <v>203</v>
      </c>
      <c r="B229" s="2" t="s">
        <v>57</v>
      </c>
      <c r="C229" s="2" t="s">
        <v>200</v>
      </c>
      <c r="D229" s="2" t="s">
        <v>140</v>
      </c>
      <c r="E229" s="2" t="n">
        <v>31</v>
      </c>
      <c r="F229" s="2" t="s">
        <v>208</v>
      </c>
      <c r="G229" s="2" t="s">
        <v>142</v>
      </c>
      <c r="H229" s="8" t="n">
        <v>27787</v>
      </c>
      <c r="I229" s="8" t="n">
        <v>68542</v>
      </c>
      <c r="J229" s="9" t="n">
        <f aca="false">H229/I229</f>
        <v>0.405401067958332</v>
      </c>
      <c r="K229" s="10" t="n">
        <v>0.154</v>
      </c>
      <c r="L229" s="8" t="n">
        <v>27553</v>
      </c>
      <c r="M229" s="9" t="n">
        <f aca="false">L229/I229</f>
        <v>0.401987102798284</v>
      </c>
      <c r="N229" s="8" t="n">
        <v>26651</v>
      </c>
      <c r="O229" s="2" t="n">
        <v>0.5</v>
      </c>
      <c r="P229" s="2" t="n">
        <v>0.32</v>
      </c>
      <c r="Q229" s="10" t="n">
        <f aca="false">L229/H229-1</f>
        <v>-0.00842120416021885</v>
      </c>
      <c r="R229" s="10" t="n">
        <f aca="false">ABS(Q229)</f>
        <v>0.00842120416021885</v>
      </c>
      <c r="S229" s="2" t="s">
        <v>43</v>
      </c>
      <c r="T229" s="2" t="n">
        <v>0.36</v>
      </c>
      <c r="U229" s="2" t="n">
        <v>1.022</v>
      </c>
    </row>
    <row r="230" customFormat="false" ht="15" hidden="false" customHeight="false" outlineLevel="0" collapsed="false">
      <c r="A230" s="2" t="s">
        <v>203</v>
      </c>
      <c r="B230" s="2" t="s">
        <v>58</v>
      </c>
      <c r="C230" s="2" t="s">
        <v>200</v>
      </c>
      <c r="D230" s="2" t="s">
        <v>140</v>
      </c>
      <c r="E230" s="2" t="n">
        <v>30</v>
      </c>
      <c r="F230" s="2" t="s">
        <v>209</v>
      </c>
      <c r="G230" s="2" t="s">
        <v>207</v>
      </c>
      <c r="H230" s="8" t="n">
        <v>18997</v>
      </c>
      <c r="I230" s="8" t="n">
        <v>43890</v>
      </c>
      <c r="J230" s="9" t="n">
        <f aca="false">H230/I230</f>
        <v>0.432832080200501</v>
      </c>
      <c r="K230" s="10" t="n">
        <v>0.189</v>
      </c>
      <c r="L230" s="8" t="n">
        <v>18280</v>
      </c>
      <c r="M230" s="9" t="n">
        <f aca="false">L230/I230</f>
        <v>0.416495784916838</v>
      </c>
      <c r="N230" s="8" t="n">
        <v>17643</v>
      </c>
      <c r="O230" s="2" t="n">
        <v>0.5</v>
      </c>
      <c r="P230" s="2" t="n">
        <v>0.32</v>
      </c>
      <c r="Q230" s="10" t="n">
        <f aca="false">L230/H230-1</f>
        <v>-0.0377428014949729</v>
      </c>
      <c r="R230" s="10" t="n">
        <f aca="false">ABS(Q230)</f>
        <v>0.0377428014949729</v>
      </c>
      <c r="S230" s="2" t="s">
        <v>43</v>
      </c>
      <c r="T230" s="2" t="n">
        <v>0.3</v>
      </c>
      <c r="U230" s="2" t="n">
        <v>1.029</v>
      </c>
    </row>
    <row r="231" customFormat="false" ht="15" hidden="false" customHeight="false" outlineLevel="0" collapsed="false">
      <c r="A231" s="2" t="s">
        <v>203</v>
      </c>
      <c r="B231" s="2" t="s">
        <v>59</v>
      </c>
      <c r="C231" s="2" t="s">
        <v>200</v>
      </c>
      <c r="D231" s="2" t="s">
        <v>140</v>
      </c>
      <c r="E231" s="2" t="n">
        <v>31</v>
      </c>
      <c r="F231" s="2" t="s">
        <v>210</v>
      </c>
      <c r="G231" s="2" t="s">
        <v>211</v>
      </c>
      <c r="H231" s="8" t="n">
        <v>12633</v>
      </c>
      <c r="I231" s="8" t="n">
        <v>28401</v>
      </c>
      <c r="J231" s="9" t="n">
        <f aca="false">H231/I231</f>
        <v>0.444808281398542</v>
      </c>
      <c r="K231" s="10" t="n">
        <v>0.231</v>
      </c>
      <c r="L231" s="8" t="n">
        <v>11658</v>
      </c>
      <c r="M231" s="9" t="n">
        <f aca="false">L231/I231</f>
        <v>0.410478504278018</v>
      </c>
      <c r="N231" s="8" t="n">
        <v>12407</v>
      </c>
      <c r="O231" s="2" t="n">
        <v>0.5</v>
      </c>
      <c r="P231" s="2" t="n">
        <v>0.32</v>
      </c>
      <c r="Q231" s="10" t="n">
        <f aca="false">L231/H231-1</f>
        <v>-0.0771788173830444</v>
      </c>
      <c r="R231" s="10" t="n">
        <f aca="false">ABS(Q231)</f>
        <v>0.0771788173830444</v>
      </c>
      <c r="S231" s="2" t="s">
        <v>43</v>
      </c>
      <c r="T231" s="2" t="n">
        <v>0.19</v>
      </c>
      <c r="U231" s="2" t="n">
        <v>0.999</v>
      </c>
    </row>
    <row r="232" customFormat="false" ht="15" hidden="false" customHeight="false" outlineLevel="0" collapsed="false">
      <c r="A232" s="2" t="s">
        <v>203</v>
      </c>
      <c r="B232" s="2" t="s">
        <v>60</v>
      </c>
      <c r="C232" s="2" t="s">
        <v>200</v>
      </c>
      <c r="D232" s="2" t="s">
        <v>140</v>
      </c>
      <c r="E232" s="2" t="n">
        <v>31</v>
      </c>
      <c r="F232" s="2" t="s">
        <v>210</v>
      </c>
      <c r="G232" s="2" t="s">
        <v>211</v>
      </c>
      <c r="H232" s="8" t="n">
        <v>11012</v>
      </c>
      <c r="I232" s="8" t="n">
        <v>22525</v>
      </c>
      <c r="J232" s="9" t="n">
        <f aca="false">H232/I232</f>
        <v>0.488879023307436</v>
      </c>
      <c r="K232" s="10" t="n">
        <v>0.272</v>
      </c>
      <c r="L232" s="8" t="n">
        <v>10282</v>
      </c>
      <c r="M232" s="9" t="n">
        <f aca="false">L232/I232</f>
        <v>0.456470588235294</v>
      </c>
      <c r="N232" s="8" t="n">
        <v>10346</v>
      </c>
      <c r="O232" s="2" t="n">
        <v>0.56</v>
      </c>
      <c r="P232" s="2" t="n">
        <v>0.23</v>
      </c>
      <c r="Q232" s="10" t="n">
        <f aca="false">L232/H232-1</f>
        <v>-0.0662913185615692</v>
      </c>
      <c r="R232" s="10" t="n">
        <f aca="false">ABS(Q232)</f>
        <v>0.0662913185615692</v>
      </c>
      <c r="S232" s="2" t="s">
        <v>43</v>
      </c>
      <c r="T232" s="2" t="n">
        <v>0.15</v>
      </c>
      <c r="U232" s="2" t="n">
        <v>1.008</v>
      </c>
    </row>
    <row r="233" customFormat="false" ht="15" hidden="false" customHeight="false" outlineLevel="0" collapsed="false">
      <c r="A233" s="2" t="s">
        <v>203</v>
      </c>
      <c r="B233" s="2" t="s">
        <v>61</v>
      </c>
      <c r="C233" s="2" t="s">
        <v>200</v>
      </c>
      <c r="D233" s="2" t="s">
        <v>140</v>
      </c>
      <c r="E233" s="2" t="n">
        <v>28</v>
      </c>
      <c r="F233" s="2" t="s">
        <v>212</v>
      </c>
      <c r="G233" s="2" t="s">
        <v>211</v>
      </c>
      <c r="H233" s="8" t="n">
        <v>9334</v>
      </c>
      <c r="I233" s="8" t="n">
        <v>25481</v>
      </c>
      <c r="J233" s="9" t="n">
        <f aca="false">H233/I233</f>
        <v>0.366312154154076</v>
      </c>
      <c r="K233" s="10" t="n">
        <v>0.292</v>
      </c>
      <c r="L233" s="8" t="n">
        <v>10424</v>
      </c>
      <c r="M233" s="9" t="n">
        <f aca="false">L233/I233</f>
        <v>0.409089125230564</v>
      </c>
      <c r="N233" s="8" t="n">
        <v>10004</v>
      </c>
      <c r="O233" s="2" t="n">
        <v>0.56</v>
      </c>
      <c r="P233" s="2" t="n">
        <v>0.23</v>
      </c>
      <c r="Q233" s="10" t="n">
        <f aca="false">L233/H233-1</f>
        <v>0.116777373044783</v>
      </c>
      <c r="R233" s="10" t="n">
        <f aca="false">ABS(Q233)</f>
        <v>0.116777373044783</v>
      </c>
      <c r="S233" s="2" t="s">
        <v>43</v>
      </c>
      <c r="T233" s="2" t="n">
        <v>0.19</v>
      </c>
      <c r="U233" s="2" t="n">
        <v>0.999</v>
      </c>
    </row>
    <row r="234" customFormat="false" ht="15" hidden="false" customHeight="false" outlineLevel="0" collapsed="false">
      <c r="A234" s="2" t="s">
        <v>203</v>
      </c>
      <c r="B234" s="2" t="s">
        <v>63</v>
      </c>
      <c r="C234" s="2" t="s">
        <v>200</v>
      </c>
      <c r="D234" s="2" t="s">
        <v>140</v>
      </c>
      <c r="E234" s="2" t="n">
        <v>30</v>
      </c>
      <c r="F234" s="2" t="s">
        <v>213</v>
      </c>
      <c r="G234" s="2" t="s">
        <v>214</v>
      </c>
      <c r="H234" s="8" t="n">
        <v>15083</v>
      </c>
      <c r="I234" s="8" t="n">
        <v>36888</v>
      </c>
      <c r="J234" s="9" t="n">
        <f aca="false">H234/I234</f>
        <v>0.408886358707439</v>
      </c>
      <c r="K234" s="10" t="n">
        <v>0.261</v>
      </c>
      <c r="L234" s="8" t="n">
        <v>18160</v>
      </c>
      <c r="M234" s="9" t="n">
        <f aca="false">L234/I234</f>
        <v>0.49230101930167</v>
      </c>
      <c r="N234" s="8" t="n">
        <v>18331</v>
      </c>
      <c r="O234" s="2" t="n">
        <v>0.57</v>
      </c>
      <c r="P234" s="2" t="n">
        <v>0.27</v>
      </c>
      <c r="Q234" s="10" t="n">
        <f aca="false">L234/H234-1</f>
        <v>0.204004508386926</v>
      </c>
      <c r="R234" s="10" t="n">
        <f aca="false">ABS(Q234)</f>
        <v>0.204004508386926</v>
      </c>
      <c r="S234" s="2" t="s">
        <v>43</v>
      </c>
      <c r="T234" s="2" t="n">
        <v>0.28</v>
      </c>
      <c r="U234" s="2" t="n">
        <v>0.967</v>
      </c>
    </row>
    <row r="235" customFormat="false" ht="15" hidden="false" customHeight="false" outlineLevel="0" collapsed="false">
      <c r="A235" s="2" t="s">
        <v>203</v>
      </c>
      <c r="B235" s="2" t="s">
        <v>64</v>
      </c>
      <c r="C235" s="2" t="s">
        <v>200</v>
      </c>
      <c r="D235" s="2" t="s">
        <v>140</v>
      </c>
      <c r="E235" s="2" t="n">
        <v>31</v>
      </c>
      <c r="F235" s="2" t="s">
        <v>213</v>
      </c>
      <c r="G235" s="2" t="s">
        <v>214</v>
      </c>
      <c r="H235" s="8" t="n">
        <v>23326</v>
      </c>
      <c r="I235" s="8" t="n">
        <v>60115</v>
      </c>
      <c r="J235" s="9" t="n">
        <f aca="false">H235/I235</f>
        <v>0.388022956000998</v>
      </c>
      <c r="K235" s="10" t="n">
        <v>0.235</v>
      </c>
      <c r="L235" s="8" t="n">
        <v>26507</v>
      </c>
      <c r="M235" s="9" t="n">
        <f aca="false">L235/I235</f>
        <v>0.440938201779922</v>
      </c>
      <c r="N235" s="8" t="n">
        <v>26374</v>
      </c>
      <c r="O235" s="2" t="n">
        <v>0.57</v>
      </c>
      <c r="P235" s="2" t="n">
        <v>0.27</v>
      </c>
      <c r="Q235" s="10" t="n">
        <f aca="false">L235/H235-1</f>
        <v>0.136371431021178</v>
      </c>
      <c r="R235" s="10" t="n">
        <f aca="false">ABS(Q235)</f>
        <v>0.136371431021178</v>
      </c>
      <c r="S235" s="2" t="s">
        <v>43</v>
      </c>
      <c r="T235" s="2" t="n">
        <v>0.38</v>
      </c>
      <c r="U235" s="2" t="n">
        <v>1.031</v>
      </c>
    </row>
    <row r="236" customFormat="false" ht="15" hidden="false" customHeight="false" outlineLevel="0" collapsed="false">
      <c r="A236" s="2" t="s">
        <v>203</v>
      </c>
      <c r="B236" s="2" t="s">
        <v>65</v>
      </c>
      <c r="C236" s="2" t="s">
        <v>200</v>
      </c>
      <c r="D236" s="2" t="s">
        <v>140</v>
      </c>
      <c r="E236" s="2" t="n">
        <v>30</v>
      </c>
      <c r="F236" s="2" t="s">
        <v>215</v>
      </c>
      <c r="G236" s="2" t="s">
        <v>216</v>
      </c>
      <c r="H236" s="8" t="n">
        <v>20669</v>
      </c>
      <c r="I236" s="8" t="n">
        <v>67400</v>
      </c>
      <c r="J236" s="9" t="n">
        <f aca="false">H236/I236</f>
        <v>0.306661721068249</v>
      </c>
      <c r="K236" s="10" t="n">
        <v>0.2</v>
      </c>
      <c r="L236" s="8" t="n">
        <v>25150</v>
      </c>
      <c r="M236" s="9" t="n">
        <f aca="false">L236/I236</f>
        <v>0.373145400593472</v>
      </c>
      <c r="N236" s="8" t="n">
        <v>21759</v>
      </c>
      <c r="O236" s="2" t="n">
        <v>0.57</v>
      </c>
      <c r="P236" s="2" t="n">
        <v>0.27</v>
      </c>
      <c r="Q236" s="10" t="n">
        <f aca="false">L236/H236-1</f>
        <v>0.216798103439934</v>
      </c>
      <c r="R236" s="10" t="n">
        <f aca="false">ABS(Q236)</f>
        <v>0.216798103439934</v>
      </c>
      <c r="S236" s="2" t="s">
        <v>43</v>
      </c>
      <c r="T236" s="2" t="n">
        <v>0.37</v>
      </c>
      <c r="U236" s="2" t="n">
        <v>1.239</v>
      </c>
    </row>
    <row r="237" customFormat="false" ht="15" hidden="false" customHeight="false" outlineLevel="0" collapsed="false">
      <c r="A237" s="2" t="s">
        <v>203</v>
      </c>
      <c r="B237" s="2" t="s">
        <v>66</v>
      </c>
      <c r="C237" s="2" t="s">
        <v>200</v>
      </c>
      <c r="D237" s="2" t="s">
        <v>140</v>
      </c>
      <c r="E237" s="2" t="n">
        <v>31</v>
      </c>
      <c r="F237" s="2" t="s">
        <v>217</v>
      </c>
      <c r="G237" s="2" t="s">
        <v>218</v>
      </c>
      <c r="H237" s="8" t="n">
        <v>26318</v>
      </c>
      <c r="I237" s="8" t="n">
        <v>82312</v>
      </c>
      <c r="J237" s="9" t="n">
        <f aca="false">H237/I237</f>
        <v>0.319734668092137</v>
      </c>
      <c r="K237" s="10" t="n">
        <v>0.166</v>
      </c>
      <c r="L237" s="8" t="n">
        <v>31240</v>
      </c>
      <c r="M237" s="9" t="n">
        <f aca="false">L237/I237</f>
        <v>0.379531538536301</v>
      </c>
      <c r="N237" s="8" t="n">
        <v>27629</v>
      </c>
      <c r="O237" s="2" t="n">
        <v>0.56</v>
      </c>
      <c r="P237" s="2" t="n">
        <v>0.27</v>
      </c>
      <c r="Q237" s="10" t="n">
        <f aca="false">L237/H237-1</f>
        <v>0.187020290295615</v>
      </c>
      <c r="R237" s="10" t="n">
        <f aca="false">ABS(Q237)</f>
        <v>0.187020290295615</v>
      </c>
      <c r="S237" s="2" t="s">
        <v>43</v>
      </c>
      <c r="T237" s="2" t="n">
        <v>0.37</v>
      </c>
      <c r="U237" s="2" t="n">
        <v>1.25</v>
      </c>
    </row>
    <row r="238" customFormat="false" ht="15" hidden="false" customHeight="false" outlineLevel="0" collapsed="false">
      <c r="A238" s="2" t="s">
        <v>203</v>
      </c>
      <c r="B238" s="2" t="s">
        <v>67</v>
      </c>
      <c r="C238" s="2" t="s">
        <v>200</v>
      </c>
      <c r="D238" s="2" t="s">
        <v>140</v>
      </c>
      <c r="E238" s="2" t="n">
        <v>31</v>
      </c>
      <c r="F238" s="2" t="s">
        <v>219</v>
      </c>
      <c r="G238" s="2" t="s">
        <v>218</v>
      </c>
      <c r="H238" s="8" t="n">
        <v>35283</v>
      </c>
      <c r="I238" s="8" t="n">
        <v>93227</v>
      </c>
      <c r="J238" s="9" t="n">
        <f aca="false">H238/I238</f>
        <v>0.378463320711811</v>
      </c>
      <c r="K238" s="10" t="n">
        <v>0.136</v>
      </c>
      <c r="L238" s="8" t="n">
        <v>39542</v>
      </c>
      <c r="M238" s="9" t="n">
        <f aca="false">L238/I238</f>
        <v>0.42414751091422</v>
      </c>
      <c r="N238" s="8" t="n">
        <v>37738</v>
      </c>
      <c r="O238" s="2" t="n">
        <v>0.56</v>
      </c>
      <c r="P238" s="2" t="n">
        <v>0.27</v>
      </c>
      <c r="Q238" s="10" t="n">
        <f aca="false">L238/H238-1</f>
        <v>0.120709690219086</v>
      </c>
      <c r="R238" s="10" t="n">
        <f aca="false">ABS(Q238)</f>
        <v>0.120709690219086</v>
      </c>
      <c r="S238" s="2" t="s">
        <v>43</v>
      </c>
      <c r="T238" s="2" t="n">
        <v>0.38</v>
      </c>
      <c r="U238" s="2" t="n">
        <v>1.011</v>
      </c>
    </row>
    <row r="239" customFormat="false" ht="15" hidden="false" customHeight="false" outlineLevel="0" collapsed="false">
      <c r="A239" s="2" t="s">
        <v>203</v>
      </c>
      <c r="B239" s="2" t="s">
        <v>68</v>
      </c>
      <c r="C239" s="2" t="s">
        <v>200</v>
      </c>
      <c r="D239" s="2" t="s">
        <v>140</v>
      </c>
      <c r="E239" s="2" t="n">
        <v>30</v>
      </c>
      <c r="F239" s="2" t="s">
        <v>220</v>
      </c>
      <c r="G239" s="2" t="s">
        <v>218</v>
      </c>
      <c r="H239" s="8" t="n">
        <v>28121</v>
      </c>
      <c r="I239" s="8" t="n">
        <v>78435</v>
      </c>
      <c r="J239" s="9" t="n">
        <f aca="false">H239/I239</f>
        <v>0.358526168164722</v>
      </c>
      <c r="K239" s="10" t="n">
        <v>0.151</v>
      </c>
      <c r="L239" s="8" t="n">
        <v>26537</v>
      </c>
      <c r="M239" s="9" t="n">
        <f aca="false">L239/I239</f>
        <v>0.338331102186524</v>
      </c>
      <c r="N239" s="8" t="n">
        <v>29100</v>
      </c>
      <c r="O239" s="2" t="n">
        <v>0.56</v>
      </c>
      <c r="P239" s="2" t="n">
        <v>0.27</v>
      </c>
      <c r="Q239" s="10" t="n">
        <f aca="false">L239/H239-1</f>
        <v>-0.0563280110949113</v>
      </c>
      <c r="R239" s="10" t="n">
        <f aca="false">ABS(Q239)</f>
        <v>0.0563280110949113</v>
      </c>
      <c r="S239" s="2" t="s">
        <v>43</v>
      </c>
      <c r="T239" s="2" t="n">
        <v>0.38</v>
      </c>
      <c r="U239" s="2" t="n">
        <v>1.027</v>
      </c>
    </row>
    <row r="240" customFormat="false" ht="15" hidden="false" customHeight="false" outlineLevel="0" collapsed="false">
      <c r="A240" s="2" t="s">
        <v>221</v>
      </c>
      <c r="B240" s="2" t="s">
        <v>76</v>
      </c>
      <c r="C240" s="2" t="s">
        <v>200</v>
      </c>
      <c r="D240" s="2" t="s">
        <v>40</v>
      </c>
      <c r="E240" s="2" t="n">
        <v>27</v>
      </c>
      <c r="F240" s="2" t="s">
        <v>222</v>
      </c>
      <c r="G240" s="2" t="s">
        <v>223</v>
      </c>
      <c r="H240" s="8" t="n">
        <v>31845</v>
      </c>
      <c r="I240" s="8" t="n">
        <v>94714</v>
      </c>
      <c r="J240" s="9" t="n">
        <f aca="false">H240/I240</f>
        <v>0.336222733703571</v>
      </c>
      <c r="K240" s="10" t="n">
        <v>0.3</v>
      </c>
      <c r="L240" s="8" t="n">
        <v>29894</v>
      </c>
      <c r="M240" s="9" t="n">
        <f aca="false">L240/I240</f>
        <v>0.315623878201744</v>
      </c>
      <c r="N240" s="8" t="n">
        <v>30212</v>
      </c>
      <c r="O240" s="2" t="n">
        <v>0.61</v>
      </c>
      <c r="P240" s="2" t="n">
        <v>0.23</v>
      </c>
      <c r="Q240" s="10" t="n">
        <f aca="false">L240/H240-1</f>
        <v>-0.0612655047888209</v>
      </c>
      <c r="R240" s="10" t="n">
        <f aca="false">ABS(Q240)</f>
        <v>0.0612655047888209</v>
      </c>
      <c r="S240" s="2" t="s">
        <v>43</v>
      </c>
      <c r="T240" s="2" t="n">
        <v>0.34</v>
      </c>
      <c r="U240" s="2" t="n">
        <v>1.178</v>
      </c>
    </row>
    <row r="241" customFormat="false" ht="15" hidden="false" customHeight="false" outlineLevel="0" collapsed="false">
      <c r="A241" s="2" t="s">
        <v>221</v>
      </c>
      <c r="B241" s="2" t="s">
        <v>50</v>
      </c>
      <c r="C241" s="2" t="s">
        <v>200</v>
      </c>
      <c r="D241" s="2" t="s">
        <v>40</v>
      </c>
      <c r="E241" s="2" t="n">
        <v>30</v>
      </c>
      <c r="F241" s="2" t="s">
        <v>224</v>
      </c>
      <c r="G241" s="2" t="s">
        <v>225</v>
      </c>
      <c r="H241" s="8" t="n">
        <v>31162</v>
      </c>
      <c r="I241" s="8" t="n">
        <v>95947</v>
      </c>
      <c r="J241" s="9" t="n">
        <f aca="false">H241/I241</f>
        <v>0.32478347420972</v>
      </c>
      <c r="K241" s="10" t="n">
        <v>0.316</v>
      </c>
      <c r="L241" s="8" t="n">
        <v>28301</v>
      </c>
      <c r="M241" s="9" t="n">
        <f aca="false">L241/I241</f>
        <v>0.294964928554306</v>
      </c>
      <c r="N241" s="8" t="n">
        <v>28914</v>
      </c>
      <c r="O241" s="2" t="n">
        <v>0.61</v>
      </c>
      <c r="P241" s="2" t="n">
        <v>0.23</v>
      </c>
      <c r="Q241" s="10" t="n">
        <f aca="false">L241/H241-1</f>
        <v>-0.0918105384763494</v>
      </c>
      <c r="R241" s="10" t="n">
        <f aca="false">ABS(Q241)</f>
        <v>0.0918105384763494</v>
      </c>
      <c r="S241" s="2" t="s">
        <v>43</v>
      </c>
      <c r="T241" s="2" t="n">
        <v>0.32</v>
      </c>
      <c r="U241" s="2" t="n">
        <v>0.989</v>
      </c>
    </row>
    <row r="242" customFormat="false" ht="15" hidden="false" customHeight="false" outlineLevel="0" collapsed="false">
      <c r="A242" s="2" t="s">
        <v>221</v>
      </c>
      <c r="B242" s="2" t="s">
        <v>52</v>
      </c>
      <c r="C242" s="2" t="s">
        <v>200</v>
      </c>
      <c r="D242" s="2" t="s">
        <v>40</v>
      </c>
      <c r="E242" s="2" t="n">
        <v>30</v>
      </c>
      <c r="F242" s="2" t="s">
        <v>226</v>
      </c>
      <c r="G242" s="2" t="s">
        <v>225</v>
      </c>
      <c r="H242" s="8" t="n">
        <v>39209</v>
      </c>
      <c r="I242" s="8" t="n">
        <v>120423</v>
      </c>
      <c r="J242" s="9" t="n">
        <f aca="false">H242/I242</f>
        <v>0.325593947999967</v>
      </c>
      <c r="K242" s="10" t="n">
        <v>0.298</v>
      </c>
      <c r="L242" s="8" t="n">
        <v>34094</v>
      </c>
      <c r="M242" s="9" t="n">
        <f aca="false">L242/I242</f>
        <v>0.283118673343132</v>
      </c>
      <c r="N242" s="8" t="n">
        <v>33324</v>
      </c>
      <c r="O242" s="2" t="n">
        <v>0.62</v>
      </c>
      <c r="P242" s="2" t="n">
        <v>0.34</v>
      </c>
      <c r="Q242" s="10" t="n">
        <f aca="false">L242/H242-1</f>
        <v>-0.130454742533602</v>
      </c>
      <c r="R242" s="10" t="n">
        <f aca="false">ABS(Q242)</f>
        <v>0.130454742533602</v>
      </c>
      <c r="S242" s="2" t="s">
        <v>43</v>
      </c>
      <c r="T242" s="2" t="n">
        <v>0.4</v>
      </c>
      <c r="U242" s="2" t="n">
        <v>1.25</v>
      </c>
    </row>
    <row r="243" customFormat="false" ht="15" hidden="false" customHeight="false" outlineLevel="0" collapsed="false">
      <c r="A243" s="2" t="s">
        <v>221</v>
      </c>
      <c r="B243" s="2" t="s">
        <v>53</v>
      </c>
      <c r="C243" s="2" t="s">
        <v>200</v>
      </c>
      <c r="D243" s="2" t="s">
        <v>40</v>
      </c>
      <c r="E243" s="2" t="n">
        <v>31</v>
      </c>
      <c r="F243" s="2" t="s">
        <v>224</v>
      </c>
      <c r="G243" s="2" t="s">
        <v>225</v>
      </c>
      <c r="H243" s="8" t="n">
        <v>38641</v>
      </c>
      <c r="I243" s="8" t="n">
        <v>127344</v>
      </c>
      <c r="J243" s="9" t="n">
        <f aca="false">H243/I243</f>
        <v>0.303437931900993</v>
      </c>
      <c r="K243" s="10" t="n">
        <v>0.29</v>
      </c>
      <c r="L243" s="8" t="n">
        <v>35954</v>
      </c>
      <c r="M243" s="9" t="n">
        <f aca="false">L243/I243</f>
        <v>0.282337605226787</v>
      </c>
      <c r="N243" s="8" t="n">
        <v>35734</v>
      </c>
      <c r="O243" s="2" t="n">
        <v>0.62</v>
      </c>
      <c r="P243" s="2" t="n">
        <v>0.34</v>
      </c>
      <c r="Q243" s="10" t="n">
        <f aca="false">L243/H243-1</f>
        <v>-0.0695375378483993</v>
      </c>
      <c r="R243" s="10" t="n">
        <f aca="false">ABS(Q243)</f>
        <v>0.0695375378483993</v>
      </c>
      <c r="S243" s="2" t="s">
        <v>43</v>
      </c>
      <c r="T243" s="2" t="n">
        <v>0.39</v>
      </c>
      <c r="U243" s="2" t="n">
        <v>1.075</v>
      </c>
    </row>
    <row r="244" customFormat="false" ht="15" hidden="false" customHeight="false" outlineLevel="0" collapsed="false">
      <c r="A244" s="2" t="s">
        <v>221</v>
      </c>
      <c r="B244" s="2" t="s">
        <v>54</v>
      </c>
      <c r="C244" s="2" t="s">
        <v>200</v>
      </c>
      <c r="D244" s="2" t="s">
        <v>40</v>
      </c>
      <c r="E244" s="2" t="n">
        <v>30</v>
      </c>
      <c r="F244" s="2" t="s">
        <v>224</v>
      </c>
      <c r="G244" s="2" t="s">
        <v>225</v>
      </c>
      <c r="H244" s="8" t="n">
        <v>33193</v>
      </c>
      <c r="I244" s="8" t="n">
        <v>105289</v>
      </c>
      <c r="J244" s="9" t="n">
        <f aca="false">H244/I244</f>
        <v>0.315256104626314</v>
      </c>
      <c r="K244" s="10" t="n">
        <v>0.272</v>
      </c>
      <c r="L244" s="8" t="n">
        <v>30206</v>
      </c>
      <c r="M244" s="9" t="n">
        <f aca="false">L244/I244</f>
        <v>0.286886569347225</v>
      </c>
      <c r="N244" s="8" t="n">
        <v>30939</v>
      </c>
      <c r="O244" s="2" t="n">
        <v>0.62</v>
      </c>
      <c r="P244" s="2" t="n">
        <v>0.34</v>
      </c>
      <c r="Q244" s="10" t="n">
        <f aca="false">L244/H244-1</f>
        <v>-0.0899888530714307</v>
      </c>
      <c r="R244" s="10" t="n">
        <f aca="false">ABS(Q244)</f>
        <v>0.0899888530714307</v>
      </c>
      <c r="S244" s="2" t="s">
        <v>43</v>
      </c>
      <c r="T244" s="2" t="n">
        <v>0.35</v>
      </c>
      <c r="U244" s="2" t="n">
        <v>0.959</v>
      </c>
    </row>
    <row r="245" customFormat="false" ht="15" hidden="false" customHeight="false" outlineLevel="0" collapsed="false">
      <c r="A245" s="2" t="s">
        <v>221</v>
      </c>
      <c r="B245" s="2" t="s">
        <v>57</v>
      </c>
      <c r="C245" s="2" t="s">
        <v>200</v>
      </c>
      <c r="D245" s="2" t="s">
        <v>40</v>
      </c>
      <c r="E245" s="2" t="n">
        <v>31</v>
      </c>
      <c r="F245" s="2" t="s">
        <v>227</v>
      </c>
      <c r="G245" s="2" t="s">
        <v>225</v>
      </c>
      <c r="H245" s="8" t="n">
        <v>27016</v>
      </c>
      <c r="I245" s="8" t="n">
        <v>89418</v>
      </c>
      <c r="J245" s="9" t="n">
        <f aca="false">H245/I245</f>
        <v>0.302131561877922</v>
      </c>
      <c r="K245" s="10" t="n">
        <v>0.252</v>
      </c>
      <c r="L245" s="8" t="n">
        <v>29704</v>
      </c>
      <c r="M245" s="9" t="n">
        <f aca="false">L245/I245</f>
        <v>0.332192623409157</v>
      </c>
      <c r="N245" s="8" t="n">
        <v>29448</v>
      </c>
      <c r="O245" s="2" t="n">
        <v>0.61</v>
      </c>
      <c r="P245" s="2" t="n">
        <v>0.31</v>
      </c>
      <c r="Q245" s="10" t="n">
        <f aca="false">L245/H245-1</f>
        <v>0.0994965946106012</v>
      </c>
      <c r="R245" s="10" t="n">
        <f aca="false">ABS(Q245)</f>
        <v>0.0994965946106012</v>
      </c>
      <c r="S245" s="2" t="s">
        <v>43</v>
      </c>
      <c r="T245" s="2" t="n">
        <v>0.38</v>
      </c>
      <c r="U245" s="2" t="n">
        <v>1.04</v>
      </c>
    </row>
    <row r="246" customFormat="false" ht="15" hidden="false" customHeight="false" outlineLevel="0" collapsed="false">
      <c r="A246" s="2" t="s">
        <v>221</v>
      </c>
      <c r="B246" s="2" t="s">
        <v>58</v>
      </c>
      <c r="C246" s="2" t="s">
        <v>200</v>
      </c>
      <c r="D246" s="2" t="s">
        <v>40</v>
      </c>
      <c r="E246" s="2" t="n">
        <v>30</v>
      </c>
      <c r="F246" s="2" t="s">
        <v>228</v>
      </c>
      <c r="G246" s="2" t="s">
        <v>225</v>
      </c>
      <c r="H246" s="8" t="n">
        <v>22812</v>
      </c>
      <c r="I246" s="8" t="n">
        <v>65720</v>
      </c>
      <c r="J246" s="9" t="n">
        <f aca="false">H246/I246</f>
        <v>0.347108947048083</v>
      </c>
      <c r="K246" s="10" t="n">
        <v>0.191</v>
      </c>
      <c r="L246" s="8" t="n">
        <v>22431</v>
      </c>
      <c r="M246" s="9" t="n">
        <f aca="false">L246/I246</f>
        <v>0.34131162507608</v>
      </c>
      <c r="N246" s="8" t="n">
        <v>22519</v>
      </c>
      <c r="O246" s="2" t="n">
        <v>0.61</v>
      </c>
      <c r="P246" s="2" t="n">
        <v>0.31</v>
      </c>
      <c r="Q246" s="10" t="n">
        <f aca="false">L246/H246-1</f>
        <v>-0.0167017359284587</v>
      </c>
      <c r="R246" s="10" t="n">
        <f aca="false">ABS(Q246)</f>
        <v>0.0167017359284587</v>
      </c>
      <c r="S246" s="2" t="s">
        <v>43</v>
      </c>
      <c r="T246" s="2" t="n">
        <v>0.33</v>
      </c>
      <c r="U246" s="2" t="n">
        <v>1.001</v>
      </c>
    </row>
    <row r="247" customFormat="false" ht="15" hidden="false" customHeight="false" outlineLevel="0" collapsed="false">
      <c r="A247" s="2" t="s">
        <v>221</v>
      </c>
      <c r="B247" s="2" t="s">
        <v>59</v>
      </c>
      <c r="C247" s="2" t="s">
        <v>200</v>
      </c>
      <c r="D247" s="2" t="s">
        <v>40</v>
      </c>
      <c r="E247" s="2" t="n">
        <v>31</v>
      </c>
      <c r="F247" s="2" t="s">
        <v>229</v>
      </c>
      <c r="G247" s="2" t="s">
        <v>230</v>
      </c>
      <c r="H247" s="8" t="n">
        <v>20535</v>
      </c>
      <c r="I247" s="8" t="n">
        <v>61063</v>
      </c>
      <c r="J247" s="9" t="n">
        <f aca="false">H247/I247</f>
        <v>0.336292026267953</v>
      </c>
      <c r="K247" s="10" t="n">
        <v>0.125</v>
      </c>
      <c r="L247" s="8" t="n">
        <v>21457</v>
      </c>
      <c r="M247" s="9" t="n">
        <f aca="false">L247/I247</f>
        <v>0.351391186152007</v>
      </c>
      <c r="N247" s="8" t="n">
        <v>22785</v>
      </c>
      <c r="O247" s="2" t="n">
        <v>0.61</v>
      </c>
      <c r="P247" s="2" t="n">
        <v>0.31</v>
      </c>
      <c r="Q247" s="10" t="n">
        <f aca="false">L247/H247-1</f>
        <v>0.0448989530070612</v>
      </c>
      <c r="R247" s="10" t="n">
        <f aca="false">ABS(Q247)</f>
        <v>0.0448989530070612</v>
      </c>
      <c r="S247" s="2" t="s">
        <v>43</v>
      </c>
      <c r="T247" s="2" t="n">
        <v>0.3</v>
      </c>
      <c r="U247" s="2" t="n">
        <v>1.01</v>
      </c>
    </row>
    <row r="248" customFormat="false" ht="15" hidden="false" customHeight="false" outlineLevel="0" collapsed="false">
      <c r="A248" s="2" t="s">
        <v>221</v>
      </c>
      <c r="B248" s="2" t="s">
        <v>60</v>
      </c>
      <c r="C248" s="2" t="s">
        <v>200</v>
      </c>
      <c r="D248" s="2" t="s">
        <v>40</v>
      </c>
      <c r="E248" s="2" t="n">
        <v>31</v>
      </c>
      <c r="F248" s="2" t="s">
        <v>82</v>
      </c>
      <c r="G248" s="2" t="s">
        <v>83</v>
      </c>
      <c r="H248" s="8" t="n">
        <v>19650</v>
      </c>
      <c r="I248" s="8" t="n">
        <v>50353</v>
      </c>
      <c r="J248" s="9" t="n">
        <f aca="false">H248/I248</f>
        <v>0.390244871209263</v>
      </c>
      <c r="K248" s="10" t="n">
        <v>0.182</v>
      </c>
      <c r="L248" s="8" t="n">
        <v>20254</v>
      </c>
      <c r="M248" s="9" t="n">
        <f aca="false">L248/I248</f>
        <v>0.40224018429885</v>
      </c>
      <c r="N248" s="8" t="n">
        <v>21205</v>
      </c>
      <c r="O248" s="2" t="n">
        <v>0.45</v>
      </c>
      <c r="P248" s="2" t="n">
        <v>0.16</v>
      </c>
      <c r="Q248" s="10" t="n">
        <f aca="false">L248/H248-1</f>
        <v>0.0307379134860051</v>
      </c>
      <c r="R248" s="10" t="n">
        <f aca="false">ABS(Q248)</f>
        <v>0.0307379134860051</v>
      </c>
      <c r="S248" s="2" t="s">
        <v>43</v>
      </c>
      <c r="T248" s="2" t="n">
        <v>0.17</v>
      </c>
      <c r="U248" s="2" t="n">
        <v>0.989</v>
      </c>
    </row>
    <row r="249" customFormat="false" ht="15" hidden="false" customHeight="false" outlineLevel="0" collapsed="false">
      <c r="A249" s="2" t="s">
        <v>221</v>
      </c>
      <c r="B249" s="2" t="s">
        <v>61</v>
      </c>
      <c r="C249" s="2" t="s">
        <v>200</v>
      </c>
      <c r="D249" s="2" t="s">
        <v>40</v>
      </c>
      <c r="E249" s="2" t="n">
        <v>28</v>
      </c>
      <c r="F249" s="2" t="s">
        <v>231</v>
      </c>
      <c r="G249" s="2" t="s">
        <v>232</v>
      </c>
      <c r="H249" s="8" t="n">
        <v>20598</v>
      </c>
      <c r="I249" s="8" t="n">
        <v>51698</v>
      </c>
      <c r="J249" s="9" t="n">
        <f aca="false">H249/I249</f>
        <v>0.398429339626291</v>
      </c>
      <c r="K249" s="10" t="n">
        <v>0.192</v>
      </c>
      <c r="L249" s="8" t="n">
        <v>19555</v>
      </c>
      <c r="M249" s="9" t="n">
        <f aca="false">L249/I249</f>
        <v>0.378254477929514</v>
      </c>
      <c r="N249" s="8" t="n">
        <v>19426</v>
      </c>
      <c r="O249" s="2" t="n">
        <v>0.45</v>
      </c>
      <c r="P249" s="2" t="n">
        <v>0.16</v>
      </c>
      <c r="Q249" s="10" t="n">
        <f aca="false">L249/H249-1</f>
        <v>-0.0506359840761239</v>
      </c>
      <c r="R249" s="10" t="n">
        <f aca="false">ABS(Q249)</f>
        <v>0.0506359840761239</v>
      </c>
      <c r="S249" s="2" t="s">
        <v>43</v>
      </c>
      <c r="T249" s="2" t="n">
        <v>0.19</v>
      </c>
      <c r="U249" s="2" t="n">
        <v>1.006</v>
      </c>
    </row>
    <row r="250" customFormat="false" ht="15" hidden="false" customHeight="false" outlineLevel="0" collapsed="false">
      <c r="A250" s="2" t="s">
        <v>221</v>
      </c>
      <c r="B250" s="2" t="s">
        <v>62</v>
      </c>
      <c r="C250" s="2" t="s">
        <v>200</v>
      </c>
      <c r="D250" s="2" t="s">
        <v>40</v>
      </c>
      <c r="E250" s="2" t="n">
        <v>31</v>
      </c>
      <c r="F250" s="2" t="s">
        <v>233</v>
      </c>
      <c r="G250" s="2" t="s">
        <v>234</v>
      </c>
      <c r="H250" s="8" t="n">
        <v>18879</v>
      </c>
      <c r="I250" s="8" t="n">
        <v>63449</v>
      </c>
      <c r="J250" s="9" t="n">
        <f aca="false">H250/I250</f>
        <v>0.297546060615613</v>
      </c>
      <c r="K250" s="10" t="n">
        <v>0.189</v>
      </c>
      <c r="L250" s="8" t="n">
        <v>22145</v>
      </c>
      <c r="M250" s="9" t="n">
        <f aca="false">L250/I250</f>
        <v>0.349020473135904</v>
      </c>
      <c r="N250" s="8" t="n">
        <v>21389</v>
      </c>
      <c r="O250" s="2" t="n">
        <v>0.45</v>
      </c>
      <c r="P250" s="2" t="n">
        <v>0.16</v>
      </c>
      <c r="Q250" s="10" t="n">
        <f aca="false">L250/H250-1</f>
        <v>0.172996451083214</v>
      </c>
      <c r="R250" s="10" t="n">
        <f aca="false">ABS(Q250)</f>
        <v>0.172996451083214</v>
      </c>
      <c r="S250" s="2" t="s">
        <v>43</v>
      </c>
      <c r="T250" s="2" t="n">
        <v>0.31</v>
      </c>
      <c r="U250" s="2" t="n">
        <v>1.13</v>
      </c>
    </row>
    <row r="251" customFormat="false" ht="15" hidden="false" customHeight="false" outlineLevel="0" collapsed="false">
      <c r="A251" s="2" t="s">
        <v>221</v>
      </c>
      <c r="B251" s="2" t="s">
        <v>63</v>
      </c>
      <c r="C251" s="2" t="s">
        <v>200</v>
      </c>
      <c r="D251" s="2" t="s">
        <v>40</v>
      </c>
      <c r="E251" s="2" t="n">
        <v>30</v>
      </c>
      <c r="F251" s="2" t="s">
        <v>233</v>
      </c>
      <c r="G251" s="2" t="s">
        <v>234</v>
      </c>
      <c r="H251" s="8" t="n">
        <v>19489</v>
      </c>
      <c r="I251" s="8" t="n">
        <v>65005</v>
      </c>
      <c r="J251" s="9" t="n">
        <f aca="false">H251/I251</f>
        <v>0.299807707099454</v>
      </c>
      <c r="K251" s="10" t="n">
        <v>0.231</v>
      </c>
      <c r="L251" s="8" t="n">
        <v>21453</v>
      </c>
      <c r="M251" s="9" t="n">
        <f aca="false">L251/I251</f>
        <v>0.330020767633259</v>
      </c>
      <c r="N251" s="8" t="n">
        <v>21327</v>
      </c>
      <c r="O251" s="2" t="n">
        <v>0.71</v>
      </c>
      <c r="P251" s="2" t="n">
        <v>0.29</v>
      </c>
      <c r="Q251" s="10" t="n">
        <f aca="false">L251/H251-1</f>
        <v>0.100774796038791</v>
      </c>
      <c r="R251" s="10" t="n">
        <f aca="false">ABS(Q251)</f>
        <v>0.100774796038791</v>
      </c>
      <c r="S251" s="2" t="s">
        <v>43</v>
      </c>
      <c r="T251" s="2" t="n">
        <v>0.38</v>
      </c>
      <c r="U251" s="2" t="n">
        <v>1.25</v>
      </c>
    </row>
    <row r="252" customFormat="false" ht="15" hidden="false" customHeight="false" outlineLevel="0" collapsed="false">
      <c r="A252" s="2" t="s">
        <v>221</v>
      </c>
      <c r="B252" s="2" t="s">
        <v>64</v>
      </c>
      <c r="C252" s="2" t="s">
        <v>200</v>
      </c>
      <c r="D252" s="2" t="s">
        <v>40</v>
      </c>
      <c r="E252" s="2" t="n">
        <v>31</v>
      </c>
      <c r="F252" s="2" t="s">
        <v>233</v>
      </c>
      <c r="G252" s="2" t="s">
        <v>234</v>
      </c>
      <c r="H252" s="8" t="n">
        <v>25340</v>
      </c>
      <c r="I252" s="8" t="n">
        <v>86790</v>
      </c>
      <c r="J252" s="9" t="n">
        <f aca="false">H252/I252</f>
        <v>0.291969120866459</v>
      </c>
      <c r="K252" s="10" t="n">
        <v>0.312</v>
      </c>
      <c r="L252" s="8" t="n">
        <v>27832</v>
      </c>
      <c r="M252" s="9" t="n">
        <f aca="false">L252/I252</f>
        <v>0.320682106233437</v>
      </c>
      <c r="N252" s="8" t="n">
        <v>27523</v>
      </c>
      <c r="O252" s="2" t="n">
        <v>0.71</v>
      </c>
      <c r="P252" s="2" t="n">
        <v>0.29</v>
      </c>
      <c r="Q252" s="10" t="n">
        <f aca="false">L252/H252-1</f>
        <v>0.098342541436464</v>
      </c>
      <c r="R252" s="10" t="n">
        <f aca="false">ABS(Q252)</f>
        <v>0.098342541436464</v>
      </c>
      <c r="S252" s="2" t="s">
        <v>43</v>
      </c>
      <c r="T252" s="2" t="n">
        <v>0.42</v>
      </c>
      <c r="U252" s="2" t="n">
        <v>1.187</v>
      </c>
    </row>
    <row r="253" customFormat="false" ht="15" hidden="false" customHeight="false" outlineLevel="0" collapsed="false">
      <c r="A253" s="2" t="s">
        <v>221</v>
      </c>
      <c r="B253" s="2" t="s">
        <v>65</v>
      </c>
      <c r="C253" s="2" t="s">
        <v>200</v>
      </c>
      <c r="D253" s="2" t="s">
        <v>40</v>
      </c>
      <c r="E253" s="2" t="n">
        <v>30</v>
      </c>
      <c r="F253" s="2" t="s">
        <v>233</v>
      </c>
      <c r="G253" s="2" t="s">
        <v>234</v>
      </c>
      <c r="H253" s="8" t="n">
        <v>27805</v>
      </c>
      <c r="I253" s="8" t="n">
        <v>93187</v>
      </c>
      <c r="J253" s="9" t="n">
        <f aca="false">H253/I253</f>
        <v>0.298378529193986</v>
      </c>
      <c r="K253" s="10" t="n">
        <v>0.325</v>
      </c>
      <c r="L253" s="8" t="n">
        <v>30023</v>
      </c>
      <c r="M253" s="9" t="n">
        <f aca="false">L253/I253</f>
        <v>0.322180132421904</v>
      </c>
      <c r="N253" s="8" t="n">
        <v>30157</v>
      </c>
      <c r="O253" s="2" t="n">
        <v>0.71</v>
      </c>
      <c r="P253" s="2" t="n">
        <v>0.29</v>
      </c>
      <c r="Q253" s="10" t="n">
        <f aca="false">L253/H253-1</f>
        <v>0.0797698255709405</v>
      </c>
      <c r="R253" s="10" t="n">
        <f aca="false">ABS(Q253)</f>
        <v>0.0797698255709405</v>
      </c>
      <c r="S253" s="2" t="s">
        <v>43</v>
      </c>
      <c r="T253" s="2" t="n">
        <v>0.41</v>
      </c>
      <c r="U253" s="2" t="n">
        <v>0.982</v>
      </c>
    </row>
    <row r="254" customFormat="false" ht="15" hidden="false" customHeight="false" outlineLevel="0" collapsed="false">
      <c r="A254" s="2" t="s">
        <v>221</v>
      </c>
      <c r="B254" s="2" t="s">
        <v>66</v>
      </c>
      <c r="C254" s="2" t="s">
        <v>200</v>
      </c>
      <c r="D254" s="2" t="s">
        <v>40</v>
      </c>
      <c r="E254" s="2" t="n">
        <v>31</v>
      </c>
      <c r="F254" s="2" t="s">
        <v>233</v>
      </c>
      <c r="G254" s="2" t="s">
        <v>234</v>
      </c>
      <c r="H254" s="8" t="n">
        <v>32259</v>
      </c>
      <c r="I254" s="8" t="n">
        <v>109001</v>
      </c>
      <c r="J254" s="9" t="n">
        <f aca="false">H254/I254</f>
        <v>0.295951413289786</v>
      </c>
      <c r="K254" s="10" t="n">
        <v>0.325</v>
      </c>
      <c r="L254" s="8" t="n">
        <v>35420</v>
      </c>
      <c r="M254" s="9" t="n">
        <f aca="false">L254/I254</f>
        <v>0.324951147237181</v>
      </c>
      <c r="N254" s="8" t="n">
        <v>35007</v>
      </c>
      <c r="O254" s="2" t="n">
        <v>0.54</v>
      </c>
      <c r="P254" s="2" t="n">
        <v>0.28</v>
      </c>
      <c r="Q254" s="10" t="n">
        <f aca="false">L254/H254-1</f>
        <v>0.0979881583434081</v>
      </c>
      <c r="R254" s="10" t="n">
        <f aca="false">ABS(Q254)</f>
        <v>0.0979881583434081</v>
      </c>
      <c r="S254" s="2" t="s">
        <v>43</v>
      </c>
      <c r="T254" s="2" t="n">
        <v>0.34</v>
      </c>
      <c r="U254" s="2" t="n">
        <v>0.992</v>
      </c>
    </row>
    <row r="255" customFormat="false" ht="15" hidden="false" customHeight="false" outlineLevel="0" collapsed="false">
      <c r="A255" s="2" t="s">
        <v>221</v>
      </c>
      <c r="B255" s="2" t="s">
        <v>67</v>
      </c>
      <c r="C255" s="2" t="s">
        <v>200</v>
      </c>
      <c r="D255" s="2" t="s">
        <v>40</v>
      </c>
      <c r="E255" s="2" t="n">
        <v>31</v>
      </c>
      <c r="F255" s="2" t="s">
        <v>235</v>
      </c>
      <c r="G255" s="2" t="s">
        <v>234</v>
      </c>
      <c r="H255" s="8" t="n">
        <v>41258</v>
      </c>
      <c r="I255" s="8" t="n">
        <v>128349</v>
      </c>
      <c r="J255" s="9" t="n">
        <f aca="false">H255/I255</f>
        <v>0.321451666939361</v>
      </c>
      <c r="K255" s="10" t="n">
        <v>0.305</v>
      </c>
      <c r="L255" s="8" t="n">
        <v>40897</v>
      </c>
      <c r="M255" s="9" t="n">
        <f aca="false">L255/I255</f>
        <v>0.318639023288066</v>
      </c>
      <c r="N255" s="8" t="n">
        <v>41494</v>
      </c>
      <c r="O255" s="2" t="n">
        <v>0.54</v>
      </c>
      <c r="P255" s="2" t="n">
        <v>0.28</v>
      </c>
      <c r="Q255" s="10" t="n">
        <f aca="false">L255/H255-1</f>
        <v>-0.0087498182170731</v>
      </c>
      <c r="R255" s="10" t="n">
        <f aca="false">ABS(Q255)</f>
        <v>0.0087498182170731</v>
      </c>
      <c r="S255" s="2" t="s">
        <v>43</v>
      </c>
      <c r="T255" s="2" t="n">
        <v>0.34</v>
      </c>
      <c r="U255" s="2" t="n">
        <v>0.991</v>
      </c>
    </row>
    <row r="256" customFormat="false" ht="15" hidden="false" customHeight="false" outlineLevel="0" collapsed="false">
      <c r="A256" s="2" t="s">
        <v>221</v>
      </c>
      <c r="B256" s="2" t="s">
        <v>68</v>
      </c>
      <c r="C256" s="2" t="s">
        <v>200</v>
      </c>
      <c r="D256" s="2" t="s">
        <v>40</v>
      </c>
      <c r="E256" s="2" t="n">
        <v>30</v>
      </c>
      <c r="F256" s="2" t="s">
        <v>233</v>
      </c>
      <c r="G256" s="2" t="s">
        <v>234</v>
      </c>
      <c r="H256" s="8" t="n">
        <v>36607</v>
      </c>
      <c r="I256" s="8" t="n">
        <v>112027</v>
      </c>
      <c r="J256" s="9" t="n">
        <f aca="false">H256/I256</f>
        <v>0.326769439510118</v>
      </c>
      <c r="K256" s="10" t="n">
        <v>0.305</v>
      </c>
      <c r="L256" s="8" t="n">
        <v>37145</v>
      </c>
      <c r="M256" s="9" t="n">
        <f aca="false">L256/I256</f>
        <v>0.331571853213957</v>
      </c>
      <c r="N256" s="8" t="n">
        <v>37936</v>
      </c>
      <c r="O256" s="2" t="n">
        <v>0.54</v>
      </c>
      <c r="P256" s="2" t="n">
        <v>0.28</v>
      </c>
      <c r="Q256" s="10" t="n">
        <f aca="false">L256/H256-1</f>
        <v>0.0146966427186057</v>
      </c>
      <c r="R256" s="10" t="n">
        <f aca="false">ABS(Q256)</f>
        <v>0.0146966427186057</v>
      </c>
      <c r="S256" s="2" t="s">
        <v>43</v>
      </c>
      <c r="T256" s="2" t="n">
        <v>0.35</v>
      </c>
      <c r="U256" s="2" t="n">
        <v>0.998</v>
      </c>
    </row>
    <row r="257" customFormat="false" ht="15" hidden="false" customHeight="false" outlineLevel="0" collapsed="false">
      <c r="A257" s="2" t="s">
        <v>236</v>
      </c>
      <c r="B257" s="2" t="s">
        <v>38</v>
      </c>
      <c r="C257" s="2" t="s">
        <v>200</v>
      </c>
      <c r="D257" s="2" t="s">
        <v>40</v>
      </c>
      <c r="E257" s="2" t="n">
        <v>31</v>
      </c>
      <c r="F257" s="2" t="s">
        <v>237</v>
      </c>
      <c r="G257" s="2" t="s">
        <v>238</v>
      </c>
      <c r="H257" s="8" t="n">
        <v>47013</v>
      </c>
      <c r="I257" s="8" t="n">
        <v>152244</v>
      </c>
      <c r="J257" s="9" t="n">
        <f aca="false">H257/I257</f>
        <v>0.308800346811697</v>
      </c>
      <c r="K257" s="10" t="n">
        <v>0</v>
      </c>
      <c r="L257" s="8" t="n">
        <v>46213</v>
      </c>
      <c r="M257" s="9" t="n">
        <f aca="false">L257/I257</f>
        <v>0.303545624129687</v>
      </c>
      <c r="N257" s="8" t="n">
        <v>46073</v>
      </c>
      <c r="O257" s="2" t="n">
        <v>0.45</v>
      </c>
      <c r="P257" s="2" t="n">
        <v>0.21</v>
      </c>
      <c r="Q257" s="10" t="n">
        <f aca="false">L257/H257-1</f>
        <v>-0.0170165698849254</v>
      </c>
      <c r="R257" s="10" t="n">
        <f aca="false">ABS(Q257)</f>
        <v>0.0170165698849254</v>
      </c>
      <c r="S257" s="2" t="s">
        <v>43</v>
      </c>
      <c r="T257" s="2" t="n">
        <v>0.3</v>
      </c>
      <c r="U257" s="2" t="n">
        <v>1</v>
      </c>
    </row>
    <row r="258" customFormat="false" ht="15" hidden="false" customHeight="false" outlineLevel="0" collapsed="false">
      <c r="A258" s="2" t="s">
        <v>236</v>
      </c>
      <c r="B258" s="2" t="s">
        <v>44</v>
      </c>
      <c r="C258" s="2" t="s">
        <v>200</v>
      </c>
      <c r="D258" s="2" t="s">
        <v>40</v>
      </c>
      <c r="E258" s="2" t="n">
        <v>28</v>
      </c>
      <c r="F258" s="2" t="s">
        <v>237</v>
      </c>
      <c r="G258" s="2" t="s">
        <v>238</v>
      </c>
      <c r="H258" s="8" t="n">
        <v>45978</v>
      </c>
      <c r="I258" s="8" t="n">
        <v>148924</v>
      </c>
      <c r="J258" s="9" t="n">
        <f aca="false">H258/I258</f>
        <v>0.308734656603368</v>
      </c>
      <c r="K258" s="10" t="n">
        <v>0</v>
      </c>
      <c r="L258" s="8" t="n">
        <v>45766</v>
      </c>
      <c r="M258" s="9" t="n">
        <f aca="false">L258/I258</f>
        <v>0.307311111707985</v>
      </c>
      <c r="N258" s="8" t="n">
        <v>43662</v>
      </c>
      <c r="O258" s="2" t="n">
        <v>0.45</v>
      </c>
      <c r="P258" s="2" t="n">
        <v>0.21</v>
      </c>
      <c r="Q258" s="10" t="n">
        <f aca="false">L258/H258-1</f>
        <v>-0.00461090086563143</v>
      </c>
      <c r="R258" s="10" t="n">
        <f aca="false">ABS(Q258)</f>
        <v>0.00461090086563143</v>
      </c>
      <c r="S258" s="2" t="s">
        <v>43</v>
      </c>
      <c r="T258" s="2" t="n">
        <v>0.3</v>
      </c>
      <c r="U258" s="2" t="n">
        <v>1.029</v>
      </c>
    </row>
    <row r="259" customFormat="false" ht="15" hidden="false" customHeight="false" outlineLevel="0" collapsed="false">
      <c r="A259" s="2" t="s">
        <v>236</v>
      </c>
      <c r="B259" s="2" t="s">
        <v>46</v>
      </c>
      <c r="C259" s="2" t="s">
        <v>200</v>
      </c>
      <c r="D259" s="2" t="s">
        <v>40</v>
      </c>
      <c r="E259" s="2" t="n">
        <v>31</v>
      </c>
      <c r="F259" s="2" t="s">
        <v>239</v>
      </c>
      <c r="G259" s="2" t="s">
        <v>238</v>
      </c>
      <c r="H259" s="8" t="n">
        <v>52799</v>
      </c>
      <c r="I259" s="8" t="n">
        <v>174966</v>
      </c>
      <c r="J259" s="9" t="n">
        <f aca="false">H259/I259</f>
        <v>0.301767200484666</v>
      </c>
      <c r="K259" s="10" t="n">
        <v>0</v>
      </c>
      <c r="L259" s="8" t="n">
        <v>51322</v>
      </c>
      <c r="M259" s="9" t="n">
        <f aca="false">L259/I259</f>
        <v>0.293325560394591</v>
      </c>
      <c r="N259" s="8" t="n">
        <v>50870</v>
      </c>
      <c r="O259" s="2" t="n">
        <v>0.45</v>
      </c>
      <c r="P259" s="2" t="n">
        <v>0.21</v>
      </c>
      <c r="Q259" s="10" t="n">
        <f aca="false">L259/H259-1</f>
        <v>-0.0279740146593686</v>
      </c>
      <c r="R259" s="10" t="n">
        <f aca="false">ABS(Q259)</f>
        <v>0.0279740146593686</v>
      </c>
      <c r="S259" s="2" t="s">
        <v>43</v>
      </c>
      <c r="T259" s="2" t="n">
        <v>0.29</v>
      </c>
      <c r="U259" s="2" t="n">
        <v>1.004</v>
      </c>
    </row>
    <row r="260" customFormat="false" ht="15" hidden="false" customHeight="false" outlineLevel="0" collapsed="false">
      <c r="A260" s="2" t="s">
        <v>236</v>
      </c>
      <c r="B260" s="2" t="s">
        <v>76</v>
      </c>
      <c r="C260" s="2" t="s">
        <v>200</v>
      </c>
      <c r="D260" s="2" t="s">
        <v>40</v>
      </c>
      <c r="E260" s="2" t="n">
        <v>31</v>
      </c>
      <c r="F260" s="2" t="s">
        <v>239</v>
      </c>
      <c r="G260" s="2" t="s">
        <v>238</v>
      </c>
      <c r="H260" s="8" t="n">
        <v>86812</v>
      </c>
      <c r="I260" s="8" t="n">
        <v>289240</v>
      </c>
      <c r="J260" s="9" t="n">
        <f aca="false">H260/I260</f>
        <v>0.300138293458719</v>
      </c>
      <c r="K260" s="10" t="n">
        <v>0</v>
      </c>
      <c r="L260" s="8" t="n">
        <v>81802</v>
      </c>
      <c r="M260" s="9" t="n">
        <f aca="false">L260/I260</f>
        <v>0.282817037754114</v>
      </c>
      <c r="N260" s="8" t="n">
        <v>83252</v>
      </c>
      <c r="O260" s="2" t="n">
        <v>0.65</v>
      </c>
      <c r="P260" s="2" t="n">
        <v>0.34</v>
      </c>
      <c r="Q260" s="10" t="n">
        <f aca="false">L260/H260-1</f>
        <v>-0.0577109155416302</v>
      </c>
      <c r="R260" s="10" t="n">
        <f aca="false">ABS(Q260)</f>
        <v>0.0577109155416302</v>
      </c>
      <c r="S260" s="2" t="s">
        <v>43</v>
      </c>
      <c r="T260" s="2" t="n">
        <v>0.44</v>
      </c>
      <c r="U260" s="2" t="n">
        <v>0.989</v>
      </c>
    </row>
    <row r="261" customFormat="false" ht="15" hidden="false" customHeight="false" outlineLevel="0" collapsed="false">
      <c r="A261" s="2" t="s">
        <v>236</v>
      </c>
      <c r="B261" s="2" t="s">
        <v>50</v>
      </c>
      <c r="C261" s="2" t="s">
        <v>200</v>
      </c>
      <c r="D261" s="2" t="s">
        <v>40</v>
      </c>
      <c r="E261" s="2" t="n">
        <v>30</v>
      </c>
      <c r="F261" s="2" t="s">
        <v>240</v>
      </c>
      <c r="G261" s="2" t="s">
        <v>238</v>
      </c>
      <c r="H261" s="8" t="n">
        <v>112519</v>
      </c>
      <c r="I261" s="8" t="n">
        <v>368696</v>
      </c>
      <c r="J261" s="9" t="n">
        <f aca="false">H261/I261</f>
        <v>0.305180962093432</v>
      </c>
      <c r="K261" s="10" t="n">
        <v>0</v>
      </c>
      <c r="L261" s="8" t="n">
        <v>100673</v>
      </c>
      <c r="M261" s="9" t="n">
        <f aca="false">L261/I261</f>
        <v>0.273051511272159</v>
      </c>
      <c r="N261" s="8" t="n">
        <v>101918</v>
      </c>
      <c r="O261" s="2" t="n">
        <v>0.65</v>
      </c>
      <c r="P261" s="2" t="n">
        <v>0.34</v>
      </c>
      <c r="Q261" s="10" t="n">
        <f aca="false">L261/H261-1</f>
        <v>-0.105279997156036</v>
      </c>
      <c r="R261" s="10" t="n">
        <f aca="false">ABS(Q261)</f>
        <v>0.105279997156036</v>
      </c>
      <c r="S261" s="2" t="s">
        <v>43</v>
      </c>
      <c r="T261" s="2" t="n">
        <v>0.46</v>
      </c>
      <c r="U261" s="2" t="n">
        <v>1.063</v>
      </c>
    </row>
    <row r="262" customFormat="false" ht="15" hidden="false" customHeight="false" outlineLevel="0" collapsed="false">
      <c r="A262" s="2" t="s">
        <v>236</v>
      </c>
      <c r="B262" s="2" t="s">
        <v>52</v>
      </c>
      <c r="C262" s="2" t="s">
        <v>200</v>
      </c>
      <c r="D262" s="2" t="s">
        <v>40</v>
      </c>
      <c r="E262" s="2" t="n">
        <v>30</v>
      </c>
      <c r="F262" s="2" t="s">
        <v>240</v>
      </c>
      <c r="G262" s="2" t="s">
        <v>238</v>
      </c>
      <c r="H262" s="8" t="n">
        <v>99148</v>
      </c>
      <c r="I262" s="8" t="n">
        <v>344783</v>
      </c>
      <c r="J262" s="9" t="n">
        <f aca="false">H262/I262</f>
        <v>0.287566382333236</v>
      </c>
      <c r="K262" s="10" t="n">
        <v>0</v>
      </c>
      <c r="L262" s="8" t="n">
        <v>94556</v>
      </c>
      <c r="M262" s="9" t="n">
        <f aca="false">L262/I262</f>
        <v>0.27424786024833</v>
      </c>
      <c r="N262" s="8" t="n">
        <v>92936</v>
      </c>
      <c r="O262" s="2" t="n">
        <v>0.65</v>
      </c>
      <c r="P262" s="2" t="n">
        <v>0.34</v>
      </c>
      <c r="Q262" s="10" t="n">
        <f aca="false">L262/H262-1</f>
        <v>-0.0463146003953685</v>
      </c>
      <c r="R262" s="10" t="n">
        <f aca="false">ABS(Q262)</f>
        <v>0.0463146003953685</v>
      </c>
      <c r="S262" s="2" t="s">
        <v>43</v>
      </c>
      <c r="T262" s="2" t="n">
        <v>0.43</v>
      </c>
      <c r="U262" s="2" t="n">
        <v>1.126</v>
      </c>
    </row>
    <row r="263" customFormat="false" ht="15" hidden="false" customHeight="false" outlineLevel="0" collapsed="false">
      <c r="A263" s="2" t="s">
        <v>236</v>
      </c>
      <c r="B263" s="2" t="s">
        <v>53</v>
      </c>
      <c r="C263" s="2" t="s">
        <v>200</v>
      </c>
      <c r="D263" s="2" t="s">
        <v>40</v>
      </c>
      <c r="E263" s="2" t="n">
        <v>31</v>
      </c>
      <c r="F263" s="2" t="s">
        <v>240</v>
      </c>
      <c r="G263" s="2" t="s">
        <v>238</v>
      </c>
      <c r="H263" s="8" t="n">
        <v>103924</v>
      </c>
      <c r="I263" s="8" t="n">
        <v>348312</v>
      </c>
      <c r="J263" s="9" t="n">
        <f aca="false">H263/I263</f>
        <v>0.298364684535704</v>
      </c>
      <c r="K263" s="10" t="n">
        <v>0</v>
      </c>
      <c r="L263" s="8" t="n">
        <v>94929</v>
      </c>
      <c r="M263" s="9" t="n">
        <f aca="false">L263/I263</f>
        <v>0.272540136429408</v>
      </c>
      <c r="N263" s="8" t="n">
        <v>94170</v>
      </c>
      <c r="O263" s="2" t="n">
        <v>0.65</v>
      </c>
      <c r="P263" s="2" t="n">
        <v>0.34</v>
      </c>
      <c r="Q263" s="10" t="n">
        <f aca="false">L263/H263-1</f>
        <v>-0.0865536353489088</v>
      </c>
      <c r="R263" s="10" t="n">
        <f aca="false">ABS(Q263)</f>
        <v>0.0865536353489088</v>
      </c>
      <c r="S263" s="2" t="s">
        <v>43</v>
      </c>
      <c r="T263" s="2" t="n">
        <v>0.45</v>
      </c>
      <c r="U263" s="2" t="n">
        <v>1.039</v>
      </c>
    </row>
    <row r="264" customFormat="false" ht="15" hidden="false" customHeight="false" outlineLevel="0" collapsed="false">
      <c r="A264" s="2" t="s">
        <v>236</v>
      </c>
      <c r="B264" s="2" t="s">
        <v>54</v>
      </c>
      <c r="C264" s="2" t="s">
        <v>200</v>
      </c>
      <c r="D264" s="2" t="s">
        <v>40</v>
      </c>
      <c r="E264" s="2" t="n">
        <v>30</v>
      </c>
      <c r="F264" s="2" t="s">
        <v>240</v>
      </c>
      <c r="G264" s="2" t="s">
        <v>238</v>
      </c>
      <c r="H264" s="8" t="n">
        <v>92607</v>
      </c>
      <c r="I264" s="8" t="n">
        <v>314631</v>
      </c>
      <c r="J264" s="9" t="n">
        <f aca="false">H264/I264</f>
        <v>0.294335268934085</v>
      </c>
      <c r="K264" s="10" t="n">
        <v>0</v>
      </c>
      <c r="L264" s="8" t="n">
        <v>85044</v>
      </c>
      <c r="M264" s="9" t="n">
        <f aca="false">L264/I264</f>
        <v>0.270297586696797</v>
      </c>
      <c r="N264" s="8" t="n">
        <v>85495</v>
      </c>
      <c r="O264" s="2" t="n">
        <v>0.65</v>
      </c>
      <c r="P264" s="2" t="n">
        <v>0.34</v>
      </c>
      <c r="Q264" s="10" t="n">
        <f aca="false">L264/H264-1</f>
        <v>-0.0816676925070459</v>
      </c>
      <c r="R264" s="10" t="n">
        <f aca="false">ABS(Q264)</f>
        <v>0.0816676925070459</v>
      </c>
      <c r="S264" s="2" t="s">
        <v>43</v>
      </c>
      <c r="T264" s="2" t="n">
        <v>0.47</v>
      </c>
      <c r="U264" s="2" t="n">
        <v>0.969</v>
      </c>
    </row>
    <row r="265" customFormat="false" ht="15" hidden="false" customHeight="false" outlineLevel="0" collapsed="false">
      <c r="A265" s="2" t="s">
        <v>236</v>
      </c>
      <c r="B265" s="2" t="s">
        <v>57</v>
      </c>
      <c r="C265" s="2" t="s">
        <v>200</v>
      </c>
      <c r="D265" s="2" t="s">
        <v>40</v>
      </c>
      <c r="E265" s="2" t="n">
        <v>31</v>
      </c>
      <c r="F265" s="2" t="s">
        <v>240</v>
      </c>
      <c r="G265" s="2" t="s">
        <v>238</v>
      </c>
      <c r="H265" s="8" t="n">
        <v>81274</v>
      </c>
      <c r="I265" s="8" t="n">
        <v>267200</v>
      </c>
      <c r="J265" s="9" t="n">
        <f aca="false">H265/I265</f>
        <v>0.304169161676647</v>
      </c>
      <c r="K265" s="10" t="n">
        <v>0</v>
      </c>
      <c r="L265" s="8" t="n">
        <v>75524</v>
      </c>
      <c r="M265" s="9" t="n">
        <f aca="false">L265/I265</f>
        <v>0.282649700598802</v>
      </c>
      <c r="N265" s="8" t="n">
        <v>74059</v>
      </c>
      <c r="O265" s="2" t="n">
        <v>0.45</v>
      </c>
      <c r="P265" s="2" t="n">
        <v>0.31</v>
      </c>
      <c r="Q265" s="10" t="n">
        <f aca="false">L265/H265-1</f>
        <v>-0.0707483328001575</v>
      </c>
      <c r="R265" s="10" t="n">
        <f aca="false">ABS(Q265)</f>
        <v>0.0707483328001575</v>
      </c>
      <c r="S265" s="2" t="s">
        <v>43</v>
      </c>
      <c r="T265" s="2" t="n">
        <v>0.32</v>
      </c>
      <c r="U265" s="2" t="n">
        <v>1.036</v>
      </c>
    </row>
    <row r="266" customFormat="false" ht="15" hidden="false" customHeight="false" outlineLevel="0" collapsed="false">
      <c r="A266" s="2" t="s">
        <v>236</v>
      </c>
      <c r="B266" s="2" t="s">
        <v>58</v>
      </c>
      <c r="C266" s="2" t="s">
        <v>200</v>
      </c>
      <c r="D266" s="2" t="s">
        <v>40</v>
      </c>
      <c r="E266" s="2" t="n">
        <v>30</v>
      </c>
      <c r="F266" s="2" t="s">
        <v>240</v>
      </c>
      <c r="G266" s="2" t="s">
        <v>238</v>
      </c>
      <c r="H266" s="8" t="n">
        <v>46740</v>
      </c>
      <c r="I266" s="8" t="n">
        <v>134996</v>
      </c>
      <c r="J266" s="9" t="n">
        <f aca="false">H266/I266</f>
        <v>0.346232480962399</v>
      </c>
      <c r="K266" s="10" t="n">
        <v>0.032</v>
      </c>
      <c r="L266" s="8" t="n">
        <v>40726</v>
      </c>
      <c r="M266" s="9" t="n">
        <f aca="false">L266/I266</f>
        <v>0.30168301283001</v>
      </c>
      <c r="N266" s="8" t="n">
        <v>40163</v>
      </c>
      <c r="O266" s="2" t="n">
        <v>0.45</v>
      </c>
      <c r="P266" s="2" t="n">
        <v>0.31</v>
      </c>
      <c r="Q266" s="10" t="n">
        <f aca="false">L266/H266-1</f>
        <v>-0.128669234060762</v>
      </c>
      <c r="R266" s="10" t="n">
        <f aca="false">ABS(Q266)</f>
        <v>0.128669234060762</v>
      </c>
      <c r="S266" s="2" t="s">
        <v>43</v>
      </c>
      <c r="T266" s="2" t="n">
        <v>0.22</v>
      </c>
      <c r="U266" s="2" t="n">
        <v>1.008</v>
      </c>
    </row>
    <row r="267" customFormat="false" ht="15" hidden="false" customHeight="false" outlineLevel="0" collapsed="false">
      <c r="A267" s="2" t="s">
        <v>236</v>
      </c>
      <c r="B267" s="2" t="s">
        <v>59</v>
      </c>
      <c r="C267" s="2" t="s">
        <v>200</v>
      </c>
      <c r="D267" s="2" t="s">
        <v>40</v>
      </c>
      <c r="E267" s="2" t="n">
        <v>31</v>
      </c>
      <c r="F267" s="2" t="s">
        <v>241</v>
      </c>
      <c r="G267" s="2" t="s">
        <v>242</v>
      </c>
      <c r="H267" s="8" t="n">
        <v>31300</v>
      </c>
      <c r="I267" s="8" t="n">
        <v>80176</v>
      </c>
      <c r="J267" s="9" t="n">
        <f aca="false">H267/I267</f>
        <v>0.390391139493115</v>
      </c>
      <c r="K267" s="10" t="n">
        <v>0.146</v>
      </c>
      <c r="L267" s="8" t="n">
        <v>25960</v>
      </c>
      <c r="M267" s="9" t="n">
        <f aca="false">L267/I267</f>
        <v>0.323787667132309</v>
      </c>
      <c r="N267" s="8" t="n">
        <v>25926</v>
      </c>
      <c r="O267" s="2" t="n">
        <v>0.45</v>
      </c>
      <c r="P267" s="2" t="n">
        <v>0.31</v>
      </c>
      <c r="Q267" s="10" t="n">
        <f aca="false">L267/H267-1</f>
        <v>-0.170607028753994</v>
      </c>
      <c r="R267" s="10" t="n">
        <f aca="false">ABS(Q267)</f>
        <v>0.170607028753994</v>
      </c>
      <c r="S267" s="2" t="s">
        <v>43</v>
      </c>
      <c r="T267" s="2" t="n">
        <v>0.17</v>
      </c>
      <c r="U267" s="2" t="n">
        <v>1.042</v>
      </c>
    </row>
    <row r="268" customFormat="false" ht="15" hidden="false" customHeight="false" outlineLevel="0" collapsed="false">
      <c r="A268" s="2" t="s">
        <v>236</v>
      </c>
      <c r="B268" s="2" t="s">
        <v>60</v>
      </c>
      <c r="C268" s="2" t="s">
        <v>200</v>
      </c>
      <c r="D268" s="2" t="s">
        <v>40</v>
      </c>
      <c r="E268" s="2" t="n">
        <v>31</v>
      </c>
      <c r="F268" s="2" t="s">
        <v>243</v>
      </c>
      <c r="G268" s="2" t="s">
        <v>244</v>
      </c>
      <c r="H268" s="8" t="n">
        <v>20410</v>
      </c>
      <c r="I268" s="8" t="n">
        <v>58205</v>
      </c>
      <c r="J268" s="9" t="n">
        <f aca="false">H268/I268</f>
        <v>0.350657160037797</v>
      </c>
      <c r="K268" s="10" t="n">
        <v>0.175</v>
      </c>
      <c r="L268" s="8" t="n">
        <v>19363</v>
      </c>
      <c r="M268" s="9" t="n">
        <f aca="false">L268/I268</f>
        <v>0.33266901468946</v>
      </c>
      <c r="N268" s="8" t="n">
        <v>18990</v>
      </c>
      <c r="O268" s="2" t="n">
        <v>0.49</v>
      </c>
      <c r="P268" s="2" t="n">
        <v>0.3</v>
      </c>
      <c r="Q268" s="10" t="n">
        <f aca="false">L268/H268-1</f>
        <v>-0.0512983831455169</v>
      </c>
      <c r="R268" s="10" t="n">
        <f aca="false">ABS(Q268)</f>
        <v>0.0512983831455169</v>
      </c>
      <c r="S268" s="2" t="s">
        <v>43</v>
      </c>
      <c r="T268" s="2" t="n">
        <v>0.32</v>
      </c>
      <c r="U268" s="2" t="n">
        <v>1.25</v>
      </c>
    </row>
    <row r="269" customFormat="false" ht="15" hidden="false" customHeight="false" outlineLevel="0" collapsed="false">
      <c r="A269" s="2" t="s">
        <v>236</v>
      </c>
      <c r="B269" s="2" t="s">
        <v>61</v>
      </c>
      <c r="C269" s="2" t="s">
        <v>200</v>
      </c>
      <c r="D269" s="2" t="s">
        <v>40</v>
      </c>
      <c r="E269" s="2" t="n">
        <v>28</v>
      </c>
      <c r="F269" s="2" t="s">
        <v>245</v>
      </c>
      <c r="G269" s="2" t="s">
        <v>244</v>
      </c>
      <c r="H269" s="8" t="n">
        <v>21565</v>
      </c>
      <c r="I269" s="8" t="n">
        <v>64166</v>
      </c>
      <c r="J269" s="9" t="n">
        <f aca="false">H269/I269</f>
        <v>0.336081413832871</v>
      </c>
      <c r="K269" s="10" t="n">
        <v>0.173</v>
      </c>
      <c r="L269" s="8" t="n">
        <v>20449</v>
      </c>
      <c r="M269" s="9" t="n">
        <f aca="false">L269/I269</f>
        <v>0.318689025340523</v>
      </c>
      <c r="N269" s="8" t="n">
        <v>20097</v>
      </c>
      <c r="O269" s="2" t="n">
        <v>0.49</v>
      </c>
      <c r="P269" s="2" t="n">
        <v>0.3</v>
      </c>
      <c r="Q269" s="10" t="n">
        <f aca="false">L269/H269-1</f>
        <v>-0.0517505216786459</v>
      </c>
      <c r="R269" s="10" t="n">
        <f aca="false">ABS(Q269)</f>
        <v>0.0517505216786459</v>
      </c>
      <c r="S269" s="2" t="s">
        <v>43</v>
      </c>
      <c r="T269" s="2" t="n">
        <v>0.19</v>
      </c>
      <c r="U269" s="2" t="n">
        <v>1.25</v>
      </c>
    </row>
    <row r="270" customFormat="false" ht="15" hidden="false" customHeight="false" outlineLevel="0" collapsed="false">
      <c r="A270" s="2" t="s">
        <v>236</v>
      </c>
      <c r="B270" s="2" t="s">
        <v>62</v>
      </c>
      <c r="C270" s="2" t="s">
        <v>200</v>
      </c>
      <c r="D270" s="2" t="s">
        <v>40</v>
      </c>
      <c r="E270" s="2" t="n">
        <v>31</v>
      </c>
      <c r="F270" s="2" t="s">
        <v>246</v>
      </c>
      <c r="G270" s="2" t="s">
        <v>247</v>
      </c>
      <c r="H270" s="8" t="n">
        <v>39443</v>
      </c>
      <c r="I270" s="8" t="n">
        <v>119660</v>
      </c>
      <c r="J270" s="9" t="n">
        <f aca="false">H270/I270</f>
        <v>0.329625605883336</v>
      </c>
      <c r="K270" s="10" t="n">
        <v>0.141</v>
      </c>
      <c r="L270" s="8" t="n">
        <v>35589</v>
      </c>
      <c r="M270" s="9" t="n">
        <f aca="false">L270/I270</f>
        <v>0.297417683436403</v>
      </c>
      <c r="N270" s="8" t="n">
        <v>35741</v>
      </c>
      <c r="O270" s="2" t="n">
        <v>0.49</v>
      </c>
      <c r="P270" s="2" t="n">
        <v>0.3</v>
      </c>
      <c r="Q270" s="10" t="n">
        <f aca="false">L270/H270-1</f>
        <v>-0.0977106203889157</v>
      </c>
      <c r="R270" s="10" t="n">
        <f aca="false">ABS(Q270)</f>
        <v>0.0977106203889157</v>
      </c>
      <c r="S270" s="2" t="s">
        <v>43</v>
      </c>
      <c r="T270" s="2" t="n">
        <v>0.28</v>
      </c>
      <c r="U270" s="2" t="n">
        <v>1.236</v>
      </c>
    </row>
    <row r="271" customFormat="false" ht="15" hidden="false" customHeight="false" outlineLevel="0" collapsed="false">
      <c r="A271" s="2" t="s">
        <v>236</v>
      </c>
      <c r="B271" s="2" t="s">
        <v>63</v>
      </c>
      <c r="C271" s="2" t="s">
        <v>200</v>
      </c>
      <c r="D271" s="2" t="s">
        <v>40</v>
      </c>
      <c r="E271" s="2" t="n">
        <v>30</v>
      </c>
      <c r="F271" s="2" t="s">
        <v>248</v>
      </c>
      <c r="G271" s="2" t="s">
        <v>249</v>
      </c>
      <c r="H271" s="8" t="n">
        <v>40908</v>
      </c>
      <c r="I271" s="8" t="n">
        <v>134024</v>
      </c>
      <c r="J271" s="9" t="n">
        <f aca="false">H271/I271</f>
        <v>0.305228914224318</v>
      </c>
      <c r="K271" s="10" t="n">
        <v>0.315</v>
      </c>
      <c r="L271" s="8" t="n">
        <v>41196</v>
      </c>
      <c r="M271" s="9" t="n">
        <f aca="false">L271/I271</f>
        <v>0.307377783083627</v>
      </c>
      <c r="N271" s="8" t="n">
        <v>40884</v>
      </c>
      <c r="O271" s="2" t="n">
        <v>0.73</v>
      </c>
      <c r="P271" s="2" t="n">
        <v>0.38</v>
      </c>
      <c r="Q271" s="10" t="n">
        <f aca="false">L271/H271-1</f>
        <v>0.0070401877383397</v>
      </c>
      <c r="R271" s="10" t="n">
        <f aca="false">ABS(Q271)</f>
        <v>0.0070401877383397</v>
      </c>
      <c r="S271" s="2" t="s">
        <v>43</v>
      </c>
      <c r="T271" s="2" t="n">
        <v>0.39</v>
      </c>
      <c r="U271" s="2" t="n">
        <v>0.982</v>
      </c>
    </row>
    <row r="272" customFormat="false" ht="15" hidden="false" customHeight="false" outlineLevel="0" collapsed="false">
      <c r="A272" s="2" t="s">
        <v>236</v>
      </c>
      <c r="B272" s="2" t="s">
        <v>64</v>
      </c>
      <c r="C272" s="2" t="s">
        <v>200</v>
      </c>
      <c r="D272" s="2" t="s">
        <v>40</v>
      </c>
      <c r="E272" s="2" t="n">
        <v>31</v>
      </c>
      <c r="F272" s="2" t="s">
        <v>248</v>
      </c>
      <c r="G272" s="2" t="s">
        <v>249</v>
      </c>
      <c r="H272" s="8" t="n">
        <v>81962</v>
      </c>
      <c r="I272" s="8" t="n">
        <v>292561</v>
      </c>
      <c r="J272" s="9" t="n">
        <f aca="false">H272/I272</f>
        <v>0.280153540629134</v>
      </c>
      <c r="K272" s="10" t="n">
        <v>0.329</v>
      </c>
      <c r="L272" s="8" t="n">
        <v>85640</v>
      </c>
      <c r="M272" s="9" t="n">
        <f aca="false">L272/I272</f>
        <v>0.292725277805312</v>
      </c>
      <c r="N272" s="8" t="n">
        <v>83125</v>
      </c>
      <c r="O272" s="2" t="n">
        <v>0.73</v>
      </c>
      <c r="P272" s="2" t="n">
        <v>0.38</v>
      </c>
      <c r="Q272" s="10" t="n">
        <f aca="false">L272/H272-1</f>
        <v>0.0448744540152755</v>
      </c>
      <c r="R272" s="10" t="n">
        <f aca="false">ABS(Q272)</f>
        <v>0.0448744540152755</v>
      </c>
      <c r="S272" s="2" t="s">
        <v>43</v>
      </c>
      <c r="T272" s="2" t="n">
        <v>0.45</v>
      </c>
      <c r="U272" s="2" t="n">
        <v>1.031</v>
      </c>
    </row>
    <row r="273" customFormat="false" ht="15" hidden="false" customHeight="false" outlineLevel="0" collapsed="false">
      <c r="A273" s="2" t="s">
        <v>236</v>
      </c>
      <c r="B273" s="2" t="s">
        <v>65</v>
      </c>
      <c r="C273" s="2" t="s">
        <v>200</v>
      </c>
      <c r="D273" s="2" t="s">
        <v>40</v>
      </c>
      <c r="E273" s="2" t="n">
        <v>30</v>
      </c>
      <c r="F273" s="2" t="s">
        <v>250</v>
      </c>
      <c r="G273" s="2" t="s">
        <v>249</v>
      </c>
      <c r="H273" s="8" t="n">
        <v>93739</v>
      </c>
      <c r="I273" s="8" t="n">
        <v>337635</v>
      </c>
      <c r="J273" s="9" t="n">
        <f aca="false">H273/I273</f>
        <v>0.277634131532572</v>
      </c>
      <c r="K273" s="10" t="n">
        <v>0.284</v>
      </c>
      <c r="L273" s="8" t="n">
        <v>94693</v>
      </c>
      <c r="M273" s="9" t="n">
        <f aca="false">L273/I273</f>
        <v>0.280459667984658</v>
      </c>
      <c r="N273" s="8" t="n">
        <v>94523</v>
      </c>
      <c r="O273" s="2" t="n">
        <v>0.73</v>
      </c>
      <c r="P273" s="2" t="n">
        <v>0.38</v>
      </c>
      <c r="Q273" s="10" t="n">
        <f aca="false">L273/H273-1</f>
        <v>0.0101771941241107</v>
      </c>
      <c r="R273" s="10" t="n">
        <f aca="false">ABS(Q273)</f>
        <v>0.0101771941241107</v>
      </c>
      <c r="S273" s="2" t="s">
        <v>43</v>
      </c>
      <c r="T273" s="2" t="n">
        <v>0.47</v>
      </c>
      <c r="U273" s="2" t="n">
        <v>0.966</v>
      </c>
    </row>
    <row r="274" customFormat="false" ht="15" hidden="false" customHeight="false" outlineLevel="0" collapsed="false">
      <c r="A274" s="2" t="s">
        <v>236</v>
      </c>
      <c r="B274" s="2" t="s">
        <v>66</v>
      </c>
      <c r="C274" s="2" t="s">
        <v>200</v>
      </c>
      <c r="D274" s="2" t="s">
        <v>40</v>
      </c>
      <c r="E274" s="2" t="n">
        <v>31</v>
      </c>
      <c r="F274" s="2" t="s">
        <v>251</v>
      </c>
      <c r="G274" s="2" t="s">
        <v>252</v>
      </c>
      <c r="H274" s="8" t="n">
        <v>113910</v>
      </c>
      <c r="I274" s="8" t="n">
        <v>392398</v>
      </c>
      <c r="J274" s="9" t="n">
        <f aca="false">H274/I274</f>
        <v>0.290291999449539</v>
      </c>
      <c r="K274" s="10" t="n">
        <v>0.267</v>
      </c>
      <c r="L274" s="8" t="n">
        <v>108780</v>
      </c>
      <c r="M274" s="9" t="n">
        <f aca="false">L274/I274</f>
        <v>0.277218538320787</v>
      </c>
      <c r="N274" s="8" t="n">
        <v>112234</v>
      </c>
      <c r="O274" s="2" t="n">
        <v>0.73</v>
      </c>
      <c r="P274" s="2" t="n">
        <v>0.45</v>
      </c>
      <c r="Q274" s="10" t="n">
        <f aca="false">L274/H274-1</f>
        <v>-0.0450355543850408</v>
      </c>
      <c r="R274" s="10" t="n">
        <f aca="false">ABS(Q274)</f>
        <v>0.0450355543850408</v>
      </c>
      <c r="S274" s="2" t="s">
        <v>43</v>
      </c>
      <c r="T274" s="2" t="n">
        <v>0.45</v>
      </c>
      <c r="U274" s="2" t="n">
        <v>1.01</v>
      </c>
    </row>
    <row r="275" customFormat="false" ht="15" hidden="false" customHeight="false" outlineLevel="0" collapsed="false">
      <c r="A275" s="2" t="s">
        <v>236</v>
      </c>
      <c r="B275" s="2" t="s">
        <v>67</v>
      </c>
      <c r="C275" s="2" t="s">
        <v>200</v>
      </c>
      <c r="D275" s="2" t="s">
        <v>40</v>
      </c>
      <c r="E275" s="2" t="n">
        <v>31</v>
      </c>
      <c r="F275" s="2" t="s">
        <v>253</v>
      </c>
      <c r="G275" s="2" t="s">
        <v>254</v>
      </c>
      <c r="H275" s="8" t="n">
        <v>136070</v>
      </c>
      <c r="I275" s="8" t="n">
        <v>469656</v>
      </c>
      <c r="J275" s="9" t="n">
        <f aca="false">H275/I275</f>
        <v>0.289722690650178</v>
      </c>
      <c r="K275" s="10" t="n">
        <v>0.216</v>
      </c>
      <c r="L275" s="8" t="n">
        <v>136740</v>
      </c>
      <c r="M275" s="9" t="n">
        <f aca="false">L275/I275</f>
        <v>0.291149266697327</v>
      </c>
      <c r="N275" s="8" t="n">
        <v>134786</v>
      </c>
      <c r="O275" s="2" t="n">
        <v>0.73</v>
      </c>
      <c r="P275" s="2" t="n">
        <v>0.45</v>
      </c>
      <c r="Q275" s="10" t="n">
        <f aca="false">L275/H275-1</f>
        <v>0.00492393620930409</v>
      </c>
      <c r="R275" s="10" t="n">
        <f aca="false">ABS(Q275)</f>
        <v>0.00492393620930409</v>
      </c>
      <c r="S275" s="2" t="s">
        <v>43</v>
      </c>
      <c r="T275" s="2" t="n">
        <v>0.51</v>
      </c>
      <c r="U275" s="2" t="n">
        <v>1.086</v>
      </c>
    </row>
    <row r="276" customFormat="false" ht="15" hidden="false" customHeight="false" outlineLevel="0" collapsed="false">
      <c r="A276" s="2" t="s">
        <v>236</v>
      </c>
      <c r="B276" s="2" t="s">
        <v>68</v>
      </c>
      <c r="C276" s="2" t="s">
        <v>200</v>
      </c>
      <c r="D276" s="2" t="s">
        <v>40</v>
      </c>
      <c r="E276" s="2" t="n">
        <v>30</v>
      </c>
      <c r="F276" s="2" t="s">
        <v>255</v>
      </c>
      <c r="G276" s="2" t="s">
        <v>256</v>
      </c>
      <c r="H276" s="8" t="n">
        <v>127919</v>
      </c>
      <c r="I276" s="8" t="n">
        <v>436297</v>
      </c>
      <c r="J276" s="9" t="n">
        <f aca="false">H276/I276</f>
        <v>0.293192481268494</v>
      </c>
      <c r="K276" s="10" t="n">
        <v>0.205</v>
      </c>
      <c r="L276" s="8" t="n">
        <v>127028</v>
      </c>
      <c r="M276" s="9" t="n">
        <f aca="false">L276/I276</f>
        <v>0.291150294409542</v>
      </c>
      <c r="N276" s="8" t="n">
        <v>124483</v>
      </c>
      <c r="O276" s="2" t="n">
        <v>0.73</v>
      </c>
      <c r="P276" s="2" t="n">
        <v>0.45</v>
      </c>
      <c r="Q276" s="10" t="n">
        <f aca="false">L276/H276-1</f>
        <v>-0.00696534525754577</v>
      </c>
      <c r="R276" s="10" t="n">
        <f aca="false">ABS(Q276)</f>
        <v>0.00696534525754577</v>
      </c>
      <c r="S276" s="2" t="s">
        <v>43</v>
      </c>
      <c r="T276" s="2" t="n">
        <v>0.52</v>
      </c>
      <c r="U276" s="2" t="n">
        <v>1.214</v>
      </c>
    </row>
    <row r="277" customFormat="false" ht="15" hidden="false" customHeight="false" outlineLevel="0" collapsed="false">
      <c r="A277" s="2" t="s">
        <v>257</v>
      </c>
      <c r="B277" s="2" t="s">
        <v>38</v>
      </c>
      <c r="C277" s="2" t="s">
        <v>200</v>
      </c>
      <c r="D277" s="2" t="s">
        <v>40</v>
      </c>
      <c r="E277" s="2" t="n">
        <v>31</v>
      </c>
      <c r="F277" s="2" t="s">
        <v>248</v>
      </c>
      <c r="G277" s="2" t="s">
        <v>249</v>
      </c>
      <c r="H277" s="8" t="n">
        <v>33076</v>
      </c>
      <c r="I277" s="8" t="n">
        <v>103691</v>
      </c>
      <c r="J277" s="9" t="n">
        <f aca="false">H277/I277</f>
        <v>0.31898621866893</v>
      </c>
      <c r="K277" s="10" t="n">
        <v>0</v>
      </c>
      <c r="L277" s="8" t="n">
        <v>32819</v>
      </c>
      <c r="M277" s="9" t="n">
        <f aca="false">L277/I277</f>
        <v>0.316507700764772</v>
      </c>
      <c r="N277" s="8" t="n">
        <v>33491</v>
      </c>
      <c r="O277" s="2" t="n">
        <v>0.7</v>
      </c>
      <c r="P277" s="2" t="n">
        <v>0.31</v>
      </c>
      <c r="Q277" s="10" t="n">
        <f aca="false">L277/H277-1</f>
        <v>-0.00776998427863107</v>
      </c>
      <c r="R277" s="10" t="n">
        <f aca="false">ABS(Q277)</f>
        <v>0.00776998427863107</v>
      </c>
      <c r="S277" s="2" t="s">
        <v>43</v>
      </c>
      <c r="T277" s="2" t="n">
        <v>0.35</v>
      </c>
      <c r="U277" s="2" t="n">
        <v>0.992</v>
      </c>
    </row>
    <row r="278" customFormat="false" ht="15" hidden="false" customHeight="false" outlineLevel="0" collapsed="false">
      <c r="A278" s="2" t="s">
        <v>257</v>
      </c>
      <c r="B278" s="2" t="s">
        <v>44</v>
      </c>
      <c r="C278" s="2" t="s">
        <v>200</v>
      </c>
      <c r="D278" s="2" t="s">
        <v>40</v>
      </c>
      <c r="E278" s="2" t="n">
        <v>28</v>
      </c>
      <c r="F278" s="2" t="s">
        <v>248</v>
      </c>
      <c r="G278" s="2" t="s">
        <v>249</v>
      </c>
      <c r="H278" s="8" t="n">
        <v>35810</v>
      </c>
      <c r="I278" s="8" t="n">
        <v>118945</v>
      </c>
      <c r="J278" s="9" t="n">
        <f aca="false">H278/I278</f>
        <v>0.30106351675144</v>
      </c>
      <c r="K278" s="10" t="n">
        <v>0</v>
      </c>
      <c r="L278" s="8" t="n">
        <v>36450</v>
      </c>
      <c r="M278" s="9" t="n">
        <f aca="false">L278/I278</f>
        <v>0.306444154861491</v>
      </c>
      <c r="N278" s="8" t="n">
        <v>36624</v>
      </c>
      <c r="O278" s="2" t="n">
        <v>0.7</v>
      </c>
      <c r="P278" s="2" t="n">
        <v>0.31</v>
      </c>
      <c r="Q278" s="10" t="n">
        <f aca="false">L278/H278-1</f>
        <v>0.0178721027645909</v>
      </c>
      <c r="R278" s="10" t="n">
        <f aca="false">ABS(Q278)</f>
        <v>0.0178721027645909</v>
      </c>
      <c r="S278" s="2" t="s">
        <v>43</v>
      </c>
      <c r="T278" s="2" t="n">
        <v>0.42</v>
      </c>
      <c r="U278" s="2" t="n">
        <v>1.036</v>
      </c>
    </row>
    <row r="279" customFormat="false" ht="15" hidden="false" customHeight="false" outlineLevel="0" collapsed="false">
      <c r="A279" s="2" t="s">
        <v>257</v>
      </c>
      <c r="B279" s="2" t="s">
        <v>46</v>
      </c>
      <c r="C279" s="2" t="s">
        <v>200</v>
      </c>
      <c r="D279" s="2" t="s">
        <v>40</v>
      </c>
      <c r="E279" s="2" t="n">
        <v>30</v>
      </c>
      <c r="F279" s="2" t="s">
        <v>248</v>
      </c>
      <c r="G279" s="2" t="s">
        <v>249</v>
      </c>
      <c r="H279" s="8" t="n">
        <v>51168</v>
      </c>
      <c r="I279" s="8" t="n">
        <v>188212</v>
      </c>
      <c r="J279" s="9" t="n">
        <f aca="false">H279/I279</f>
        <v>0.271863643125837</v>
      </c>
      <c r="K279" s="10" t="n">
        <v>0</v>
      </c>
      <c r="L279" s="8" t="n">
        <v>56273</v>
      </c>
      <c r="M279" s="9" t="n">
        <f aca="false">L279/I279</f>
        <v>0.298987312179882</v>
      </c>
      <c r="N279" s="8" t="n">
        <v>56500</v>
      </c>
      <c r="O279" s="2" t="n">
        <v>0.7</v>
      </c>
      <c r="P279" s="2" t="n">
        <v>0.31</v>
      </c>
      <c r="Q279" s="10" t="n">
        <f aca="false">L279/H279-1</f>
        <v>0.0997693871169481</v>
      </c>
      <c r="R279" s="10" t="n">
        <f aca="false">ABS(Q279)</f>
        <v>0.0997693871169481</v>
      </c>
      <c r="S279" s="2" t="s">
        <v>43</v>
      </c>
      <c r="T279" s="2" t="n">
        <v>0.45</v>
      </c>
      <c r="U279" s="2" t="n">
        <v>1.112</v>
      </c>
    </row>
    <row r="280" customFormat="false" ht="15" hidden="false" customHeight="false" outlineLevel="0" collapsed="false">
      <c r="A280" s="2" t="s">
        <v>257</v>
      </c>
      <c r="B280" s="2" t="s">
        <v>52</v>
      </c>
      <c r="C280" s="2" t="s">
        <v>200</v>
      </c>
      <c r="D280" s="2" t="s">
        <v>40</v>
      </c>
      <c r="E280" s="2" t="n">
        <v>31</v>
      </c>
      <c r="F280" s="2" t="s">
        <v>251</v>
      </c>
      <c r="G280" s="2" t="s">
        <v>252</v>
      </c>
      <c r="H280" s="8" t="n">
        <v>187137</v>
      </c>
      <c r="I280" s="8" t="n">
        <v>671080</v>
      </c>
      <c r="J280" s="9" t="n">
        <f aca="false">H280/I280</f>
        <v>0.2788594504381</v>
      </c>
      <c r="K280" s="10" t="n">
        <v>0</v>
      </c>
      <c r="L280" s="8" t="n">
        <v>190818</v>
      </c>
      <c r="M280" s="9" t="n">
        <f aca="false">L280/I280</f>
        <v>0.284344638493175</v>
      </c>
      <c r="N280" s="8" t="n">
        <v>189465</v>
      </c>
      <c r="O280" s="2" t="n">
        <v>0.73</v>
      </c>
      <c r="P280" s="2" t="n">
        <v>0.49</v>
      </c>
      <c r="Q280" s="10" t="n">
        <f aca="false">L280/H280-1</f>
        <v>0.0196700812773529</v>
      </c>
      <c r="R280" s="10" t="n">
        <f aca="false">ABS(Q280)</f>
        <v>0.0196700812773529</v>
      </c>
      <c r="S280" s="2" t="s">
        <v>43</v>
      </c>
      <c r="T280" s="2" t="n">
        <v>0.49</v>
      </c>
      <c r="U280" s="2" t="n">
        <v>1.25</v>
      </c>
    </row>
    <row r="281" customFormat="false" ht="15" hidden="false" customHeight="false" outlineLevel="0" collapsed="false">
      <c r="A281" s="2" t="s">
        <v>257</v>
      </c>
      <c r="B281" s="2" t="s">
        <v>53</v>
      </c>
      <c r="C281" s="2" t="s">
        <v>200</v>
      </c>
      <c r="D281" s="2" t="s">
        <v>40</v>
      </c>
      <c r="E281" s="2" t="n">
        <v>31</v>
      </c>
      <c r="F281" s="2" t="s">
        <v>258</v>
      </c>
      <c r="G281" s="2" t="s">
        <v>252</v>
      </c>
      <c r="H281" s="8" t="n">
        <v>249326</v>
      </c>
      <c r="I281" s="8" t="n">
        <v>907081</v>
      </c>
      <c r="J281" s="9" t="n">
        <f aca="false">H281/I281</f>
        <v>0.274866301906886</v>
      </c>
      <c r="K281" s="10" t="n">
        <v>0</v>
      </c>
      <c r="L281" s="8" t="n">
        <v>256727</v>
      </c>
      <c r="M281" s="9" t="n">
        <f aca="false">L281/I281</f>
        <v>0.283025440947391</v>
      </c>
      <c r="N281" s="8" t="n">
        <v>257925</v>
      </c>
      <c r="O281" s="2" t="n">
        <v>0.73</v>
      </c>
      <c r="P281" s="2" t="n">
        <v>0.49</v>
      </c>
      <c r="Q281" s="10" t="n">
        <f aca="false">L281/H281-1</f>
        <v>0.0296840281398652</v>
      </c>
      <c r="R281" s="10" t="n">
        <f aca="false">ABS(Q281)</f>
        <v>0.0296840281398652</v>
      </c>
      <c r="S281" s="2" t="s">
        <v>43</v>
      </c>
      <c r="T281" s="2" t="n">
        <v>0.59</v>
      </c>
      <c r="U281" s="2" t="n">
        <v>1.25</v>
      </c>
    </row>
    <row r="282" customFormat="false" ht="15" hidden="false" customHeight="false" outlineLevel="0" collapsed="false">
      <c r="A282" s="2" t="s">
        <v>257</v>
      </c>
      <c r="B282" s="2" t="s">
        <v>54</v>
      </c>
      <c r="C282" s="2" t="s">
        <v>200</v>
      </c>
      <c r="D282" s="2" t="s">
        <v>40</v>
      </c>
      <c r="E282" s="2" t="n">
        <v>30</v>
      </c>
      <c r="F282" s="2" t="s">
        <v>259</v>
      </c>
      <c r="G282" s="2" t="s">
        <v>254</v>
      </c>
      <c r="H282" s="8" t="n">
        <v>220047</v>
      </c>
      <c r="I282" s="8" t="n">
        <v>800197</v>
      </c>
      <c r="J282" s="9" t="n">
        <f aca="false">H282/I282</f>
        <v>0.274991033458011</v>
      </c>
      <c r="K282" s="10" t="n">
        <v>0.006</v>
      </c>
      <c r="L282" s="8" t="n">
        <v>226685</v>
      </c>
      <c r="M282" s="9" t="n">
        <f aca="false">L282/I282</f>
        <v>0.283286490701665</v>
      </c>
      <c r="N282" s="8" t="n">
        <v>227987</v>
      </c>
      <c r="O282" s="2" t="n">
        <v>0.73</v>
      </c>
      <c r="P282" s="2" t="n">
        <v>0.49</v>
      </c>
      <c r="Q282" s="10" t="n">
        <f aca="false">L282/H282-1</f>
        <v>0.0301662826577958</v>
      </c>
      <c r="R282" s="10" t="n">
        <f aca="false">ABS(Q282)</f>
        <v>0.0301662826577958</v>
      </c>
      <c r="S282" s="2" t="s">
        <v>43</v>
      </c>
      <c r="T282" s="2" t="n">
        <v>0.57</v>
      </c>
      <c r="U282" s="2" t="n">
        <v>0.974</v>
      </c>
    </row>
    <row r="283" customFormat="false" ht="15" hidden="false" customHeight="false" outlineLevel="0" collapsed="false">
      <c r="A283" s="2" t="s">
        <v>257</v>
      </c>
      <c r="B283" s="2" t="s">
        <v>58</v>
      </c>
      <c r="C283" s="2" t="s">
        <v>200</v>
      </c>
      <c r="D283" s="2" t="s">
        <v>40</v>
      </c>
      <c r="E283" s="2" t="n">
        <v>30</v>
      </c>
      <c r="F283" s="2" t="s">
        <v>259</v>
      </c>
      <c r="G283" s="2" t="s">
        <v>254</v>
      </c>
      <c r="H283" s="8" t="n">
        <v>89169</v>
      </c>
      <c r="I283" s="8" t="n">
        <v>306001</v>
      </c>
      <c r="J283" s="9" t="n">
        <f aca="false">H283/I283</f>
        <v>0.291401008493436</v>
      </c>
      <c r="K283" s="10" t="n">
        <v>0.13</v>
      </c>
      <c r="L283" s="8" t="n">
        <v>94360</v>
      </c>
      <c r="M283" s="9" t="n">
        <f aca="false">L283/I283</f>
        <v>0.30836500534312</v>
      </c>
      <c r="N283" s="8" t="n">
        <v>93939</v>
      </c>
      <c r="O283" s="2" t="n">
        <v>0.67</v>
      </c>
      <c r="P283" s="2" t="n">
        <v>0.38</v>
      </c>
      <c r="Q283" s="10" t="n">
        <f aca="false">L283/H283-1</f>
        <v>0.0582152990389035</v>
      </c>
      <c r="R283" s="10" t="n">
        <f aca="false">ABS(Q283)</f>
        <v>0.0582152990389035</v>
      </c>
      <c r="S283" s="2" t="s">
        <v>43</v>
      </c>
      <c r="T283" s="2" t="n">
        <v>0.39</v>
      </c>
      <c r="U283" s="2" t="n">
        <v>0.954</v>
      </c>
    </row>
    <row r="284" customFormat="false" ht="15" hidden="false" customHeight="false" outlineLevel="0" collapsed="false">
      <c r="A284" s="2" t="s">
        <v>257</v>
      </c>
      <c r="B284" s="2" t="s">
        <v>59</v>
      </c>
      <c r="C284" s="2" t="s">
        <v>200</v>
      </c>
      <c r="D284" s="2" t="s">
        <v>40</v>
      </c>
      <c r="E284" s="2" t="n">
        <v>31</v>
      </c>
      <c r="F284" s="2" t="s">
        <v>260</v>
      </c>
      <c r="G284" s="2" t="s">
        <v>254</v>
      </c>
      <c r="H284" s="8" t="n">
        <v>66601</v>
      </c>
      <c r="I284" s="8" t="n">
        <v>243441</v>
      </c>
      <c r="J284" s="9" t="n">
        <f aca="false">H284/I284</f>
        <v>0.273581689197793</v>
      </c>
      <c r="K284" s="10" t="n">
        <v>0.152</v>
      </c>
      <c r="L284" s="8" t="n">
        <v>72135</v>
      </c>
      <c r="M284" s="9" t="n">
        <f aca="false">L284/I284</f>
        <v>0.296314096639432</v>
      </c>
      <c r="N284" s="8" t="n">
        <v>73009</v>
      </c>
      <c r="O284" s="2" t="n">
        <v>0.67</v>
      </c>
      <c r="P284" s="2" t="n">
        <v>0.38</v>
      </c>
      <c r="Q284" s="10" t="n">
        <f aca="false">L284/H284-1</f>
        <v>0.0830918454677858</v>
      </c>
      <c r="R284" s="10" t="n">
        <f aca="false">ABS(Q284)</f>
        <v>0.0830918454677858</v>
      </c>
      <c r="S284" s="2" t="s">
        <v>43</v>
      </c>
      <c r="T284" s="2" t="n">
        <v>0.39</v>
      </c>
      <c r="U284" s="2" t="n">
        <v>1.009</v>
      </c>
    </row>
    <row r="285" customFormat="false" ht="15" hidden="false" customHeight="false" outlineLevel="0" collapsed="false">
      <c r="A285" s="2" t="s">
        <v>257</v>
      </c>
      <c r="B285" s="2" t="s">
        <v>60</v>
      </c>
      <c r="C285" s="2" t="s">
        <v>200</v>
      </c>
      <c r="D285" s="2" t="s">
        <v>40</v>
      </c>
      <c r="E285" s="2" t="n">
        <v>31</v>
      </c>
      <c r="F285" s="2" t="s">
        <v>260</v>
      </c>
      <c r="G285" s="2" t="s">
        <v>254</v>
      </c>
      <c r="H285" s="8" t="n">
        <v>57262</v>
      </c>
      <c r="I285" s="8" t="n">
        <v>209525</v>
      </c>
      <c r="J285" s="9" t="n">
        <f aca="false">H285/I285</f>
        <v>0.273294356282067</v>
      </c>
      <c r="K285" s="10" t="n">
        <v>0.184</v>
      </c>
      <c r="L285" s="8" t="n">
        <v>63676</v>
      </c>
      <c r="M285" s="9" t="n">
        <f aca="false">L285/I285</f>
        <v>0.30390645507696</v>
      </c>
      <c r="N285" s="8" t="n">
        <v>64418</v>
      </c>
      <c r="O285" s="2" t="n">
        <v>0.67</v>
      </c>
      <c r="P285" s="2" t="n">
        <v>0.37</v>
      </c>
      <c r="Q285" s="10" t="n">
        <f aca="false">L285/H285-1</f>
        <v>0.112011456114002</v>
      </c>
      <c r="R285" s="10" t="n">
        <f aca="false">ABS(Q285)</f>
        <v>0.112011456114002</v>
      </c>
      <c r="S285" s="2" t="s">
        <v>43</v>
      </c>
      <c r="T285" s="2" t="n">
        <v>0.35</v>
      </c>
      <c r="U285" s="2" t="n">
        <v>1.016</v>
      </c>
    </row>
    <row r="286" customFormat="false" ht="15" hidden="false" customHeight="false" outlineLevel="0" collapsed="false">
      <c r="A286" s="2" t="s">
        <v>257</v>
      </c>
      <c r="B286" s="2" t="s">
        <v>61</v>
      </c>
      <c r="C286" s="2" t="s">
        <v>200</v>
      </c>
      <c r="D286" s="2" t="s">
        <v>40</v>
      </c>
      <c r="E286" s="2" t="n">
        <v>28</v>
      </c>
      <c r="F286" s="2" t="s">
        <v>261</v>
      </c>
      <c r="G286" s="2" t="s">
        <v>254</v>
      </c>
      <c r="H286" s="8" t="n">
        <v>67125</v>
      </c>
      <c r="I286" s="8" t="n">
        <v>245343</v>
      </c>
      <c r="J286" s="9" t="n">
        <f aca="false">H286/I286</f>
        <v>0.273596556657414</v>
      </c>
      <c r="K286" s="10" t="n">
        <v>0.185</v>
      </c>
      <c r="L286" s="8" t="n">
        <v>71749</v>
      </c>
      <c r="M286" s="9" t="n">
        <f aca="false">L286/I286</f>
        <v>0.29244364012831</v>
      </c>
      <c r="N286" s="8" t="n">
        <v>72059</v>
      </c>
      <c r="O286" s="2" t="n">
        <v>0.67</v>
      </c>
      <c r="P286" s="2" t="n">
        <v>0.37</v>
      </c>
      <c r="Q286" s="10" t="n">
        <f aca="false">L286/H286-1</f>
        <v>0.0688864059590317</v>
      </c>
      <c r="R286" s="10" t="n">
        <f aca="false">ABS(Q286)</f>
        <v>0.0688864059590317</v>
      </c>
      <c r="S286" s="2" t="s">
        <v>43</v>
      </c>
      <c r="T286" s="2" t="n">
        <v>0.4</v>
      </c>
      <c r="U286" s="2" t="n">
        <v>0.996</v>
      </c>
    </row>
    <row r="287" customFormat="false" ht="15" hidden="false" customHeight="false" outlineLevel="0" collapsed="false">
      <c r="A287" s="2" t="s">
        <v>257</v>
      </c>
      <c r="B287" s="2" t="s">
        <v>62</v>
      </c>
      <c r="C287" s="2" t="s">
        <v>200</v>
      </c>
      <c r="D287" s="2" t="s">
        <v>40</v>
      </c>
      <c r="E287" s="2" t="n">
        <v>31</v>
      </c>
      <c r="F287" s="2" t="s">
        <v>262</v>
      </c>
      <c r="G287" s="2" t="s">
        <v>254</v>
      </c>
      <c r="H287" s="8" t="n">
        <v>95687</v>
      </c>
      <c r="I287" s="8" t="n">
        <v>344776</v>
      </c>
      <c r="J287" s="9" t="n">
        <f aca="false">H287/I287</f>
        <v>0.277533819059331</v>
      </c>
      <c r="K287" s="10" t="n">
        <v>0.143</v>
      </c>
      <c r="L287" s="8" t="n">
        <v>103765</v>
      </c>
      <c r="M287" s="9" t="n">
        <f aca="false">L287/I287</f>
        <v>0.300963524143212</v>
      </c>
      <c r="N287" s="8" t="n">
        <v>100144</v>
      </c>
      <c r="O287" s="2" t="n">
        <v>0.67</v>
      </c>
      <c r="P287" s="2" t="n">
        <v>0.37</v>
      </c>
      <c r="Q287" s="10" t="n">
        <f aca="false">L287/H287-1</f>
        <v>0.0844210812336055</v>
      </c>
      <c r="R287" s="10" t="n">
        <f aca="false">ABS(Q287)</f>
        <v>0.0844210812336055</v>
      </c>
      <c r="S287" s="2" t="s">
        <v>43</v>
      </c>
      <c r="T287" s="2" t="n">
        <v>0.42</v>
      </c>
      <c r="U287" s="2" t="n">
        <v>1.14</v>
      </c>
    </row>
    <row r="288" customFormat="false" ht="15" hidden="false" customHeight="false" outlineLevel="0" collapsed="false">
      <c r="A288" s="2" t="s">
        <v>257</v>
      </c>
      <c r="B288" s="2" t="s">
        <v>63</v>
      </c>
      <c r="C288" s="2" t="s">
        <v>200</v>
      </c>
      <c r="D288" s="2" t="s">
        <v>40</v>
      </c>
      <c r="E288" s="2" t="n">
        <v>30</v>
      </c>
      <c r="F288" s="2" t="s">
        <v>262</v>
      </c>
      <c r="G288" s="2" t="s">
        <v>254</v>
      </c>
      <c r="H288" s="8" t="n">
        <v>103494</v>
      </c>
      <c r="I288" s="8" t="n">
        <v>366049</v>
      </c>
      <c r="J288" s="9" t="n">
        <f aca="false">H288/I288</f>
        <v>0.282732639619286</v>
      </c>
      <c r="K288" s="10" t="n">
        <v>0.16</v>
      </c>
      <c r="L288" s="8" t="n">
        <v>109843</v>
      </c>
      <c r="M288" s="9" t="n">
        <f aca="false">L288/I288</f>
        <v>0.300077312053851</v>
      </c>
      <c r="N288" s="8" t="n">
        <v>109543</v>
      </c>
      <c r="O288" s="2" t="n">
        <v>0.68</v>
      </c>
      <c r="P288" s="2" t="n">
        <v>0.41</v>
      </c>
      <c r="Q288" s="10" t="n">
        <f aca="false">L288/H288-1</f>
        <v>0.0613465514909077</v>
      </c>
      <c r="R288" s="10" t="n">
        <f aca="false">ABS(Q288)</f>
        <v>0.0613465514909077</v>
      </c>
      <c r="S288" s="2" t="s">
        <v>43</v>
      </c>
      <c r="T288" s="2" t="n">
        <v>0.43</v>
      </c>
      <c r="U288" s="2" t="n">
        <v>0.953</v>
      </c>
    </row>
    <row r="289" customFormat="false" ht="15" hidden="false" customHeight="false" outlineLevel="0" collapsed="false">
      <c r="A289" s="2" t="s">
        <v>257</v>
      </c>
      <c r="B289" s="2" t="s">
        <v>64</v>
      </c>
      <c r="C289" s="2" t="s">
        <v>200</v>
      </c>
      <c r="D289" s="2" t="s">
        <v>40</v>
      </c>
      <c r="E289" s="2" t="n">
        <v>31</v>
      </c>
      <c r="F289" s="2" t="s">
        <v>263</v>
      </c>
      <c r="G289" s="2" t="s">
        <v>254</v>
      </c>
      <c r="H289" s="8" t="n">
        <v>173232</v>
      </c>
      <c r="I289" s="8" t="n">
        <v>584637</v>
      </c>
      <c r="J289" s="9" t="n">
        <f aca="false">H289/I289</f>
        <v>0.296306939177644</v>
      </c>
      <c r="K289" s="10" t="n">
        <v>0.153</v>
      </c>
      <c r="L289" s="8" t="n">
        <v>168689</v>
      </c>
      <c r="M289" s="9" t="n">
        <f aca="false">L289/I289</f>
        <v>0.28853630543397</v>
      </c>
      <c r="N289" s="8" t="n">
        <v>170109</v>
      </c>
      <c r="O289" s="2" t="n">
        <v>0.68</v>
      </c>
      <c r="P289" s="2" t="n">
        <v>0.41</v>
      </c>
      <c r="Q289" s="10" t="n">
        <f aca="false">L289/H289-1</f>
        <v>-0.0262249468920291</v>
      </c>
      <c r="R289" s="10" t="n">
        <f aca="false">ABS(Q289)</f>
        <v>0.0262249468920291</v>
      </c>
      <c r="S289" s="2" t="s">
        <v>43</v>
      </c>
      <c r="T289" s="2" t="n">
        <v>0.51</v>
      </c>
      <c r="U289" s="2" t="n">
        <v>0.963</v>
      </c>
    </row>
    <row r="290" customFormat="false" ht="15" hidden="false" customHeight="false" outlineLevel="0" collapsed="false">
      <c r="A290" s="2" t="s">
        <v>257</v>
      </c>
      <c r="B290" s="2" t="s">
        <v>65</v>
      </c>
      <c r="C290" s="2" t="s">
        <v>200</v>
      </c>
      <c r="D290" s="2" t="s">
        <v>40</v>
      </c>
      <c r="E290" s="2" t="n">
        <v>30</v>
      </c>
      <c r="F290" s="2" t="s">
        <v>264</v>
      </c>
      <c r="G290" s="2" t="s">
        <v>254</v>
      </c>
      <c r="H290" s="8" t="n">
        <v>175015</v>
      </c>
      <c r="I290" s="8" t="n">
        <v>604118</v>
      </c>
      <c r="J290" s="9" t="n">
        <f aca="false">H290/I290</f>
        <v>0.289703336103212</v>
      </c>
      <c r="K290" s="10" t="n">
        <v>0.221</v>
      </c>
      <c r="L290" s="8" t="n">
        <v>177345</v>
      </c>
      <c r="M290" s="9" t="n">
        <f aca="false">L290/I290</f>
        <v>0.293560198504266</v>
      </c>
      <c r="N290" s="8" t="n">
        <v>176136</v>
      </c>
      <c r="O290" s="2" t="n">
        <v>0.68</v>
      </c>
      <c r="P290" s="2" t="n">
        <v>0.41</v>
      </c>
      <c r="Q290" s="10" t="n">
        <f aca="false">L290/H290-1</f>
        <v>0.0133131445876067</v>
      </c>
      <c r="R290" s="10" t="n">
        <f aca="false">ABS(Q290)</f>
        <v>0.0133131445876067</v>
      </c>
      <c r="S290" s="2" t="s">
        <v>43</v>
      </c>
      <c r="T290" s="2" t="n">
        <v>0.51</v>
      </c>
      <c r="U290" s="2" t="n">
        <v>0.973</v>
      </c>
    </row>
    <row r="291" customFormat="false" ht="15" hidden="false" customHeight="false" outlineLevel="0" collapsed="false">
      <c r="A291" s="2" t="s">
        <v>257</v>
      </c>
      <c r="B291" s="2" t="s">
        <v>66</v>
      </c>
      <c r="C291" s="2" t="s">
        <v>200</v>
      </c>
      <c r="D291" s="2" t="s">
        <v>40</v>
      </c>
      <c r="E291" s="2" t="n">
        <v>31</v>
      </c>
      <c r="F291" s="2" t="s">
        <v>264</v>
      </c>
      <c r="G291" s="2" t="s">
        <v>254</v>
      </c>
      <c r="H291" s="8" t="n">
        <v>224091</v>
      </c>
      <c r="I291" s="8" t="n">
        <v>785180</v>
      </c>
      <c r="J291" s="9" t="n">
        <f aca="false">H291/I291</f>
        <v>0.285400799816603</v>
      </c>
      <c r="K291" s="10" t="n">
        <v>0.173</v>
      </c>
      <c r="L291" s="8" t="n">
        <v>228551</v>
      </c>
      <c r="M291" s="9" t="n">
        <f aca="false">L291/I291</f>
        <v>0.291081026006776</v>
      </c>
      <c r="N291" s="8" t="n">
        <v>228292</v>
      </c>
      <c r="O291" s="2" t="n">
        <v>0.68</v>
      </c>
      <c r="P291" s="2" t="n">
        <v>0.46</v>
      </c>
      <c r="Q291" s="10" t="n">
        <f aca="false">L291/H291-1</f>
        <v>0.0199026288427469</v>
      </c>
      <c r="R291" s="10" t="n">
        <f aca="false">ABS(Q291)</f>
        <v>0.0199026288427469</v>
      </c>
      <c r="S291" s="2" t="s">
        <v>43</v>
      </c>
      <c r="T291" s="2" t="n">
        <v>0.53</v>
      </c>
      <c r="U291" s="2" t="n">
        <v>0.991</v>
      </c>
    </row>
    <row r="292" customFormat="false" ht="15" hidden="false" customHeight="false" outlineLevel="0" collapsed="false">
      <c r="A292" s="2" t="s">
        <v>257</v>
      </c>
      <c r="B292" s="2" t="s">
        <v>67</v>
      </c>
      <c r="C292" s="2" t="s">
        <v>200</v>
      </c>
      <c r="D292" s="2" t="s">
        <v>40</v>
      </c>
      <c r="E292" s="2" t="n">
        <v>31</v>
      </c>
      <c r="F292" s="2" t="s">
        <v>265</v>
      </c>
      <c r="G292" s="2" t="s">
        <v>254</v>
      </c>
      <c r="H292" s="8" t="n">
        <v>281834</v>
      </c>
      <c r="I292" s="8" t="n">
        <v>1005624</v>
      </c>
      <c r="J292" s="9" t="n">
        <f aca="false">H292/I292</f>
        <v>0.280257829964281</v>
      </c>
      <c r="K292" s="10" t="n">
        <v>0.137</v>
      </c>
      <c r="L292" s="8" t="n">
        <v>288232</v>
      </c>
      <c r="M292" s="9" t="n">
        <f aca="false">L292/I292</f>
        <v>0.286620048845294</v>
      </c>
      <c r="N292" s="8" t="n">
        <v>284998</v>
      </c>
      <c r="O292" s="2" t="n">
        <v>0.68</v>
      </c>
      <c r="P292" s="2" t="n">
        <v>0.46</v>
      </c>
      <c r="Q292" s="10" t="n">
        <f aca="false">L292/H292-1</f>
        <v>0.0227013064427997</v>
      </c>
      <c r="R292" s="10" t="n">
        <f aca="false">ABS(Q292)</f>
        <v>0.0227013064427997</v>
      </c>
      <c r="S292" s="2" t="s">
        <v>43</v>
      </c>
      <c r="T292" s="2" t="n">
        <v>0.55</v>
      </c>
      <c r="U292" s="2" t="n">
        <v>1.185</v>
      </c>
    </row>
    <row r="293" customFormat="false" ht="15" hidden="false" customHeight="false" outlineLevel="0" collapsed="false">
      <c r="A293" s="2" t="s">
        <v>257</v>
      </c>
      <c r="B293" s="2" t="s">
        <v>68</v>
      </c>
      <c r="C293" s="2" t="s">
        <v>200</v>
      </c>
      <c r="D293" s="2" t="s">
        <v>40</v>
      </c>
      <c r="E293" s="2" t="n">
        <v>30</v>
      </c>
      <c r="F293" s="2" t="s">
        <v>263</v>
      </c>
      <c r="G293" s="2" t="s">
        <v>254</v>
      </c>
      <c r="H293" s="8" t="n">
        <v>248421</v>
      </c>
      <c r="I293" s="8" t="n">
        <v>875972</v>
      </c>
      <c r="J293" s="9" t="n">
        <f aca="false">H293/I293</f>
        <v>0.283594681108529</v>
      </c>
      <c r="K293" s="10" t="n">
        <v>0.149</v>
      </c>
      <c r="L293" s="8" t="n">
        <v>249252</v>
      </c>
      <c r="M293" s="9" t="n">
        <f aca="false">L293/I293</f>
        <v>0.284543341567995</v>
      </c>
      <c r="N293" s="8" t="n">
        <v>252170</v>
      </c>
      <c r="O293" s="2" t="n">
        <v>0.68</v>
      </c>
      <c r="P293" s="2" t="n">
        <v>0.46</v>
      </c>
      <c r="Q293" s="10" t="n">
        <f aca="false">L293/H293-1</f>
        <v>0.00334512782735752</v>
      </c>
      <c r="R293" s="10" t="n">
        <f aca="false">ABS(Q293)</f>
        <v>0.00334512782735752</v>
      </c>
      <c r="S293" s="2" t="s">
        <v>43</v>
      </c>
      <c r="T293" s="2" t="n">
        <v>0.55</v>
      </c>
      <c r="U293" s="2" t="n">
        <v>1.034</v>
      </c>
    </row>
    <row r="294" customFormat="false" ht="15" hidden="false" customHeight="false" outlineLevel="0" collapsed="false">
      <c r="A294" s="2" t="s">
        <v>266</v>
      </c>
      <c r="B294" s="2" t="s">
        <v>38</v>
      </c>
      <c r="C294" s="2" t="s">
        <v>200</v>
      </c>
      <c r="D294" s="2" t="s">
        <v>193</v>
      </c>
      <c r="E294" s="2" t="n">
        <v>31</v>
      </c>
      <c r="F294" s="2" t="s">
        <v>267</v>
      </c>
      <c r="G294" s="2" t="s">
        <v>268</v>
      </c>
      <c r="H294" s="8" t="n">
        <v>21372</v>
      </c>
      <c r="I294" s="8" t="n">
        <v>46984</v>
      </c>
      <c r="J294" s="9" t="n">
        <f aca="false">H294/I294</f>
        <v>0.45487825642772</v>
      </c>
      <c r="K294" s="10" t="n">
        <v>0.224</v>
      </c>
      <c r="L294" s="8" t="n">
        <v>18996</v>
      </c>
      <c r="M294" s="9" t="n">
        <f aca="false">L294/I294</f>
        <v>0.404307849480674</v>
      </c>
      <c r="N294" s="8" t="n">
        <v>20561</v>
      </c>
      <c r="O294" s="2" t="n">
        <v>0.45</v>
      </c>
      <c r="P294" s="2" t="n">
        <v>0.18</v>
      </c>
      <c r="Q294" s="10" t="n">
        <f aca="false">L294/H294-1</f>
        <v>-0.111173498034812</v>
      </c>
      <c r="R294" s="10" t="n">
        <f aca="false">ABS(Q294)</f>
        <v>0.111173498034812</v>
      </c>
      <c r="S294" s="2" t="s">
        <v>146</v>
      </c>
      <c r="T294" s="2" t="n">
        <v>0.16</v>
      </c>
      <c r="U294" s="2" t="n">
        <v>0.977</v>
      </c>
    </row>
    <row r="295" customFormat="false" ht="15" hidden="false" customHeight="false" outlineLevel="0" collapsed="false">
      <c r="A295" s="2" t="s">
        <v>269</v>
      </c>
      <c r="B295" s="2" t="s">
        <v>46</v>
      </c>
      <c r="C295" s="2" t="s">
        <v>200</v>
      </c>
      <c r="D295" s="2" t="s">
        <v>40</v>
      </c>
      <c r="E295" s="2" t="n">
        <v>26</v>
      </c>
      <c r="F295" s="2" t="s">
        <v>270</v>
      </c>
      <c r="G295" s="2" t="s">
        <v>271</v>
      </c>
      <c r="H295" s="8" t="n">
        <v>81117</v>
      </c>
      <c r="I295" s="8" t="n">
        <v>288050</v>
      </c>
      <c r="J295" s="9" t="n">
        <f aca="false">H295/I295</f>
        <v>0.281607359833362</v>
      </c>
      <c r="K295" s="10" t="n">
        <v>0</v>
      </c>
      <c r="L295" s="8" t="n">
        <v>79096</v>
      </c>
      <c r="M295" s="9" t="n">
        <f aca="false">L295/I295</f>
        <v>0.274591216802638</v>
      </c>
      <c r="N295" s="8" t="n">
        <v>77916</v>
      </c>
      <c r="O295" s="2" t="n">
        <v>0.68</v>
      </c>
      <c r="P295" s="2" t="n">
        <v>0.38</v>
      </c>
      <c r="Q295" s="10" t="n">
        <f aca="false">L295/H295-1</f>
        <v>-0.0249146294858045</v>
      </c>
      <c r="R295" s="10" t="n">
        <f aca="false">ABS(Q295)</f>
        <v>0.0249146294858045</v>
      </c>
      <c r="S295" s="2" t="s">
        <v>43</v>
      </c>
      <c r="T295" s="2" t="n">
        <v>0.5</v>
      </c>
      <c r="U295" s="2" t="n">
        <v>1.25</v>
      </c>
    </row>
    <row r="296" customFormat="false" ht="15" hidden="false" customHeight="false" outlineLevel="0" collapsed="false">
      <c r="A296" s="2" t="s">
        <v>269</v>
      </c>
      <c r="B296" s="2" t="s">
        <v>48</v>
      </c>
      <c r="C296" s="2" t="s">
        <v>200</v>
      </c>
      <c r="D296" s="2" t="s">
        <v>40</v>
      </c>
      <c r="E296" s="2" t="n">
        <v>30</v>
      </c>
      <c r="F296" s="2" t="s">
        <v>270</v>
      </c>
      <c r="G296" s="2" t="s">
        <v>271</v>
      </c>
      <c r="H296" s="8" t="n">
        <v>115428</v>
      </c>
      <c r="I296" s="8" t="n">
        <v>416005</v>
      </c>
      <c r="J296" s="9" t="n">
        <f aca="false">H296/I296</f>
        <v>0.277467818896408</v>
      </c>
      <c r="K296" s="10" t="n">
        <v>0.04</v>
      </c>
      <c r="L296" s="8" t="n">
        <v>113877</v>
      </c>
      <c r="M296" s="9" t="n">
        <f aca="false">L296/I296</f>
        <v>0.273739498323337</v>
      </c>
      <c r="N296" s="8" t="n">
        <v>113272</v>
      </c>
      <c r="O296" s="2" t="n">
        <v>0.68</v>
      </c>
      <c r="P296" s="2" t="n">
        <v>0.41</v>
      </c>
      <c r="Q296" s="10" t="n">
        <f aca="false">L296/H296-1</f>
        <v>-0.0134369477076619</v>
      </c>
      <c r="R296" s="10" t="n">
        <f aca="false">ABS(Q296)</f>
        <v>0.0134369477076619</v>
      </c>
      <c r="S296" s="2" t="s">
        <v>43</v>
      </c>
      <c r="T296" s="2" t="n">
        <v>0.51</v>
      </c>
      <c r="U296" s="2" t="n">
        <v>1.117</v>
      </c>
    </row>
    <row r="297" customFormat="false" ht="15" hidden="false" customHeight="false" outlineLevel="0" collapsed="false">
      <c r="A297" s="2" t="s">
        <v>269</v>
      </c>
      <c r="B297" s="2" t="s">
        <v>76</v>
      </c>
      <c r="C297" s="2" t="s">
        <v>200</v>
      </c>
      <c r="D297" s="2" t="s">
        <v>40</v>
      </c>
      <c r="E297" s="2" t="n">
        <v>31</v>
      </c>
      <c r="F297" s="2" t="s">
        <v>272</v>
      </c>
      <c r="G297" s="2" t="s">
        <v>273</v>
      </c>
      <c r="H297" s="8" t="n">
        <v>124528</v>
      </c>
      <c r="I297" s="8" t="n">
        <v>438001</v>
      </c>
      <c r="J297" s="9" t="n">
        <f aca="false">H297/I297</f>
        <v>0.284309853173851</v>
      </c>
      <c r="K297" s="10" t="n">
        <v>0.135</v>
      </c>
      <c r="L297" s="8" t="n">
        <v>120116</v>
      </c>
      <c r="M297" s="9" t="n">
        <f aca="false">L297/I297</f>
        <v>0.274236816810921</v>
      </c>
      <c r="N297" s="8" t="n">
        <v>119568</v>
      </c>
      <c r="O297" s="2" t="n">
        <v>0.68</v>
      </c>
      <c r="P297" s="2" t="n">
        <v>0.41</v>
      </c>
      <c r="Q297" s="10" t="n">
        <f aca="false">L297/H297-1</f>
        <v>-0.0354297828600797</v>
      </c>
      <c r="R297" s="10" t="n">
        <f aca="false">ABS(Q297)</f>
        <v>0.0354297828600797</v>
      </c>
      <c r="S297" s="2" t="s">
        <v>43</v>
      </c>
      <c r="T297" s="2" t="n">
        <v>0.51</v>
      </c>
      <c r="U297" s="2" t="n">
        <v>1.043</v>
      </c>
    </row>
    <row r="298" customFormat="false" ht="15" hidden="false" customHeight="false" outlineLevel="0" collapsed="false">
      <c r="A298" s="2" t="s">
        <v>269</v>
      </c>
      <c r="B298" s="2" t="s">
        <v>50</v>
      </c>
      <c r="C298" s="2" t="s">
        <v>200</v>
      </c>
      <c r="D298" s="2" t="s">
        <v>40</v>
      </c>
      <c r="E298" s="2" t="n">
        <v>30</v>
      </c>
      <c r="F298" s="2" t="s">
        <v>274</v>
      </c>
      <c r="G298" s="2" t="s">
        <v>273</v>
      </c>
      <c r="H298" s="8" t="n">
        <v>158643</v>
      </c>
      <c r="I298" s="8" t="n">
        <v>527634</v>
      </c>
      <c r="J298" s="9" t="n">
        <f aca="false">H298/I298</f>
        <v>0.300668645310954</v>
      </c>
      <c r="K298" s="10" t="n">
        <v>0.162</v>
      </c>
      <c r="L298" s="8" t="n">
        <v>144500</v>
      </c>
      <c r="M298" s="9" t="n">
        <f aca="false">L298/I298</f>
        <v>0.273864080025169</v>
      </c>
      <c r="N298" s="8" t="n">
        <v>145842</v>
      </c>
      <c r="O298" s="2" t="n">
        <v>0.68</v>
      </c>
      <c r="P298" s="2" t="n">
        <v>0.41</v>
      </c>
      <c r="Q298" s="10" t="n">
        <f aca="false">L298/H298-1</f>
        <v>-0.0891498521838341</v>
      </c>
      <c r="R298" s="10" t="n">
        <f aca="false">ABS(Q298)</f>
        <v>0.0891498521838341</v>
      </c>
      <c r="S298" s="2" t="s">
        <v>43</v>
      </c>
      <c r="T298" s="2" t="n">
        <v>0.51</v>
      </c>
      <c r="U298" s="2" t="n">
        <v>0.991</v>
      </c>
    </row>
    <row r="299" customFormat="false" ht="15" hidden="false" customHeight="false" outlineLevel="0" collapsed="false">
      <c r="A299" s="2" t="s">
        <v>269</v>
      </c>
      <c r="B299" s="2" t="s">
        <v>53</v>
      </c>
      <c r="C299" s="2" t="s">
        <v>200</v>
      </c>
      <c r="D299" s="2" t="s">
        <v>40</v>
      </c>
      <c r="E299" s="2" t="n">
        <v>31</v>
      </c>
      <c r="F299" s="2" t="s">
        <v>275</v>
      </c>
      <c r="G299" s="2" t="s">
        <v>276</v>
      </c>
      <c r="H299" s="8" t="n">
        <v>198777</v>
      </c>
      <c r="I299" s="8" t="n">
        <v>727670</v>
      </c>
      <c r="J299" s="9" t="n">
        <f aca="false">H299/I299</f>
        <v>0.273169156348345</v>
      </c>
      <c r="K299" s="10" t="n">
        <v>0.176</v>
      </c>
      <c r="L299" s="8" t="n">
        <v>197240</v>
      </c>
      <c r="M299" s="9" t="n">
        <f aca="false">L299/I299</f>
        <v>0.271056935149175</v>
      </c>
      <c r="N299" s="8" t="n">
        <v>195982</v>
      </c>
      <c r="O299" s="2" t="n">
        <v>0.7</v>
      </c>
      <c r="P299" s="2" t="n">
        <v>0.45</v>
      </c>
      <c r="Q299" s="10" t="n">
        <f aca="false">L299/H299-1</f>
        <v>-0.00773228290999461</v>
      </c>
      <c r="R299" s="10" t="n">
        <f aca="false">ABS(Q299)</f>
        <v>0.00773228290999461</v>
      </c>
      <c r="S299" s="2" t="s">
        <v>43</v>
      </c>
      <c r="T299" s="2" t="n">
        <v>0.56</v>
      </c>
      <c r="U299" s="2" t="n">
        <v>1.185</v>
      </c>
    </row>
    <row r="300" customFormat="false" ht="15" hidden="false" customHeight="false" outlineLevel="0" collapsed="false">
      <c r="A300" s="2" t="s">
        <v>269</v>
      </c>
      <c r="B300" s="2" t="s">
        <v>54</v>
      </c>
      <c r="C300" s="2" t="s">
        <v>200</v>
      </c>
      <c r="D300" s="2" t="s">
        <v>40</v>
      </c>
      <c r="E300" s="2" t="n">
        <v>30</v>
      </c>
      <c r="F300" s="2" t="s">
        <v>275</v>
      </c>
      <c r="G300" s="2" t="s">
        <v>276</v>
      </c>
      <c r="H300" s="8" t="n">
        <v>150281</v>
      </c>
      <c r="I300" s="8" t="n">
        <v>548661</v>
      </c>
      <c r="J300" s="9" t="n">
        <f aca="false">H300/I300</f>
        <v>0.273905016029935</v>
      </c>
      <c r="K300" s="10" t="n">
        <v>0.212</v>
      </c>
      <c r="L300" s="8" t="n">
        <v>148788</v>
      </c>
      <c r="M300" s="9" t="n">
        <f aca="false">L300/I300</f>
        <v>0.271183845762684</v>
      </c>
      <c r="N300" s="8" t="n">
        <v>149459</v>
      </c>
      <c r="O300" s="2" t="n">
        <v>0.7</v>
      </c>
      <c r="P300" s="2" t="n">
        <v>0.45</v>
      </c>
      <c r="Q300" s="10" t="n">
        <f aca="false">L300/H300-1</f>
        <v>-0.00993472228691583</v>
      </c>
      <c r="R300" s="10" t="n">
        <f aca="false">ABS(Q300)</f>
        <v>0.00993472228691583</v>
      </c>
      <c r="S300" s="2" t="s">
        <v>43</v>
      </c>
      <c r="T300" s="2" t="n">
        <v>0.54</v>
      </c>
      <c r="U300" s="2" t="n">
        <v>0.974</v>
      </c>
    </row>
    <row r="301" customFormat="false" ht="15" hidden="false" customHeight="false" outlineLevel="0" collapsed="false">
      <c r="A301" s="2" t="s">
        <v>269</v>
      </c>
      <c r="B301" s="2" t="s">
        <v>57</v>
      </c>
      <c r="C301" s="2" t="s">
        <v>200</v>
      </c>
      <c r="D301" s="2" t="s">
        <v>40</v>
      </c>
      <c r="E301" s="2" t="n">
        <v>31</v>
      </c>
      <c r="F301" s="2" t="s">
        <v>275</v>
      </c>
      <c r="G301" s="2" t="s">
        <v>276</v>
      </c>
      <c r="H301" s="8" t="n">
        <v>127286</v>
      </c>
      <c r="I301" s="8" t="n">
        <v>430104</v>
      </c>
      <c r="J301" s="9" t="n">
        <f aca="false">H301/I301</f>
        <v>0.295942376727489</v>
      </c>
      <c r="K301" s="10" t="n">
        <v>0.245</v>
      </c>
      <c r="L301" s="8" t="n">
        <v>119169</v>
      </c>
      <c r="M301" s="9" t="n">
        <f aca="false">L301/I301</f>
        <v>0.277070196975615</v>
      </c>
      <c r="N301" s="8" t="n">
        <v>120427</v>
      </c>
      <c r="O301" s="2" t="n">
        <v>0.66</v>
      </c>
      <c r="P301" s="2" t="n">
        <v>0.35</v>
      </c>
      <c r="Q301" s="10" t="n">
        <f aca="false">L301/H301-1</f>
        <v>-0.0637697782945493</v>
      </c>
      <c r="R301" s="10" t="n">
        <f aca="false">ABS(Q301)</f>
        <v>0.0637697782945493</v>
      </c>
      <c r="S301" s="2" t="s">
        <v>43</v>
      </c>
      <c r="T301" s="2" t="n">
        <v>0.46</v>
      </c>
      <c r="U301" s="2" t="n">
        <v>0.986</v>
      </c>
    </row>
    <row r="302" customFormat="false" ht="15" hidden="false" customHeight="false" outlineLevel="0" collapsed="false">
      <c r="A302" s="2" t="s">
        <v>269</v>
      </c>
      <c r="B302" s="2" t="s">
        <v>58</v>
      </c>
      <c r="C302" s="2" t="s">
        <v>200</v>
      </c>
      <c r="D302" s="2" t="s">
        <v>40</v>
      </c>
      <c r="E302" s="2" t="n">
        <v>30</v>
      </c>
      <c r="F302" s="2" t="s">
        <v>277</v>
      </c>
      <c r="G302" s="2" t="s">
        <v>276</v>
      </c>
      <c r="H302" s="8" t="n">
        <v>84323</v>
      </c>
      <c r="I302" s="8" t="n">
        <v>278579</v>
      </c>
      <c r="J302" s="9" t="n">
        <f aca="false">H302/I302</f>
        <v>0.302689721766537</v>
      </c>
      <c r="K302" s="10" t="n">
        <v>0.264</v>
      </c>
      <c r="L302" s="8" t="n">
        <v>78194</v>
      </c>
      <c r="M302" s="9" t="n">
        <f aca="false">L302/I302</f>
        <v>0.280688781279278</v>
      </c>
      <c r="N302" s="8" t="n">
        <v>80993</v>
      </c>
      <c r="O302" s="2" t="n">
        <v>0.66</v>
      </c>
      <c r="P302" s="2" t="n">
        <v>0.35</v>
      </c>
      <c r="Q302" s="10" t="n">
        <f aca="false">L302/H302-1</f>
        <v>-0.0726847953701837</v>
      </c>
      <c r="R302" s="10" t="n">
        <f aca="false">ABS(Q302)</f>
        <v>0.0726847953701837</v>
      </c>
      <c r="S302" s="2" t="s">
        <v>43</v>
      </c>
      <c r="T302" s="2" t="n">
        <v>0.43</v>
      </c>
      <c r="U302" s="2" t="n">
        <v>0.927</v>
      </c>
    </row>
    <row r="303" customFormat="false" ht="15" hidden="false" customHeight="false" outlineLevel="0" collapsed="false">
      <c r="A303" s="2" t="s">
        <v>269</v>
      </c>
      <c r="B303" s="2" t="s">
        <v>59</v>
      </c>
      <c r="C303" s="2" t="s">
        <v>200</v>
      </c>
      <c r="D303" s="2" t="s">
        <v>40</v>
      </c>
      <c r="E303" s="2" t="n">
        <v>31</v>
      </c>
      <c r="F303" s="2" t="s">
        <v>275</v>
      </c>
      <c r="G303" s="2" t="s">
        <v>276</v>
      </c>
      <c r="H303" s="8" t="n">
        <v>69577</v>
      </c>
      <c r="I303" s="8" t="n">
        <v>243531</v>
      </c>
      <c r="J303" s="9" t="n">
        <f aca="false">H303/I303</f>
        <v>0.285700793738785</v>
      </c>
      <c r="K303" s="10" t="n">
        <v>0.249</v>
      </c>
      <c r="L303" s="8" t="n">
        <v>69681</v>
      </c>
      <c r="M303" s="9" t="n">
        <f aca="false">L303/I303</f>
        <v>0.28612784409377</v>
      </c>
      <c r="N303" s="8" t="n">
        <v>70738</v>
      </c>
      <c r="O303" s="2" t="n">
        <v>0.66</v>
      </c>
      <c r="P303" s="2" t="n">
        <v>0.35</v>
      </c>
      <c r="Q303" s="10" t="n">
        <f aca="false">L303/H303-1</f>
        <v>0.00149474682725614</v>
      </c>
      <c r="R303" s="10" t="n">
        <f aca="false">ABS(Q303)</f>
        <v>0.00149474682725614</v>
      </c>
      <c r="S303" s="2" t="s">
        <v>43</v>
      </c>
      <c r="T303" s="2" t="n">
        <v>0.4</v>
      </c>
      <c r="U303" s="2" t="n">
        <v>1</v>
      </c>
    </row>
    <row r="304" customFormat="false" ht="15" hidden="false" customHeight="false" outlineLevel="0" collapsed="false">
      <c r="A304" s="2" t="s">
        <v>269</v>
      </c>
      <c r="B304" s="2" t="s">
        <v>60</v>
      </c>
      <c r="C304" s="2" t="s">
        <v>200</v>
      </c>
      <c r="D304" s="2" t="s">
        <v>40</v>
      </c>
      <c r="E304" s="2" t="n">
        <v>31</v>
      </c>
      <c r="F304" s="2" t="s">
        <v>275</v>
      </c>
      <c r="G304" s="2" t="s">
        <v>276</v>
      </c>
      <c r="H304" s="8" t="n">
        <v>66151</v>
      </c>
      <c r="I304" s="8" t="n">
        <v>220890</v>
      </c>
      <c r="J304" s="9" t="n">
        <f aca="false">H304/I304</f>
        <v>0.299474851736158</v>
      </c>
      <c r="K304" s="10" t="n">
        <v>0.258</v>
      </c>
      <c r="L304" s="8" t="n">
        <v>64325</v>
      </c>
      <c r="M304" s="9" t="n">
        <f aca="false">L304/I304</f>
        <v>0.291208293720857</v>
      </c>
      <c r="N304" s="8" t="n">
        <v>64854</v>
      </c>
      <c r="O304" s="2" t="n">
        <v>0.65</v>
      </c>
      <c r="P304" s="2" t="n">
        <v>0.34</v>
      </c>
      <c r="Q304" s="10" t="n">
        <f aca="false">L304/H304-1</f>
        <v>-0.027603513174404</v>
      </c>
      <c r="R304" s="10" t="n">
        <f aca="false">ABS(Q304)</f>
        <v>0.027603513174404</v>
      </c>
      <c r="S304" s="2" t="s">
        <v>43</v>
      </c>
      <c r="T304" s="2" t="n">
        <v>0.37</v>
      </c>
      <c r="U304" s="2" t="n">
        <v>0.947</v>
      </c>
    </row>
    <row r="305" customFormat="false" ht="15" hidden="false" customHeight="false" outlineLevel="0" collapsed="false">
      <c r="A305" s="2" t="s">
        <v>269</v>
      </c>
      <c r="B305" s="2" t="s">
        <v>61</v>
      </c>
      <c r="C305" s="2" t="s">
        <v>200</v>
      </c>
      <c r="D305" s="2" t="s">
        <v>40</v>
      </c>
      <c r="E305" s="2" t="n">
        <v>28</v>
      </c>
      <c r="F305" s="2" t="s">
        <v>275</v>
      </c>
      <c r="G305" s="2" t="s">
        <v>276</v>
      </c>
      <c r="H305" s="8" t="n">
        <v>69319</v>
      </c>
      <c r="I305" s="8" t="n">
        <v>237652</v>
      </c>
      <c r="J305" s="9" t="n">
        <f aca="false">H305/I305</f>
        <v>0.291682796694326</v>
      </c>
      <c r="K305" s="10" t="n">
        <v>0.291</v>
      </c>
      <c r="L305" s="8" t="n">
        <v>67694</v>
      </c>
      <c r="M305" s="9" t="n">
        <f aca="false">L305/I305</f>
        <v>0.284845067577803</v>
      </c>
      <c r="N305" s="8" t="n">
        <v>67882</v>
      </c>
      <c r="O305" s="2" t="n">
        <v>0.65</v>
      </c>
      <c r="P305" s="2" t="n">
        <v>0.34</v>
      </c>
      <c r="Q305" s="10" t="n">
        <f aca="false">L305/H305-1</f>
        <v>-0.0234423462542738</v>
      </c>
      <c r="R305" s="10" t="n">
        <f aca="false">ABS(Q305)</f>
        <v>0.0234423462542738</v>
      </c>
      <c r="S305" s="2" t="s">
        <v>43</v>
      </c>
      <c r="T305" s="2" t="n">
        <v>0.4</v>
      </c>
      <c r="U305" s="2" t="n">
        <v>0.943</v>
      </c>
    </row>
    <row r="306" customFormat="false" ht="15" hidden="false" customHeight="false" outlineLevel="0" collapsed="false">
      <c r="A306" s="2" t="s">
        <v>269</v>
      </c>
      <c r="B306" s="2" t="s">
        <v>62</v>
      </c>
      <c r="C306" s="2" t="s">
        <v>200</v>
      </c>
      <c r="D306" s="2" t="s">
        <v>40</v>
      </c>
      <c r="E306" s="2" t="n">
        <v>31</v>
      </c>
      <c r="F306" s="2" t="s">
        <v>275</v>
      </c>
      <c r="G306" s="2" t="s">
        <v>276</v>
      </c>
      <c r="H306" s="8" t="n">
        <v>86720</v>
      </c>
      <c r="I306" s="8" t="n">
        <v>294297</v>
      </c>
      <c r="J306" s="9" t="n">
        <f aca="false">H306/I306</f>
        <v>0.294668311263791</v>
      </c>
      <c r="K306" s="10" t="n">
        <v>0.323</v>
      </c>
      <c r="L306" s="8" t="n">
        <v>82780</v>
      </c>
      <c r="M306" s="9" t="n">
        <f aca="false">L306/I306</f>
        <v>0.281280475166244</v>
      </c>
      <c r="N306" s="8" t="n">
        <v>83557</v>
      </c>
      <c r="O306" s="2" t="n">
        <v>0.65</v>
      </c>
      <c r="P306" s="2" t="n">
        <v>0.34</v>
      </c>
      <c r="Q306" s="10" t="n">
        <f aca="false">L306/H306-1</f>
        <v>-0.0454335793357934</v>
      </c>
      <c r="R306" s="10" t="n">
        <f aca="false">ABS(Q306)</f>
        <v>0.0454335793357934</v>
      </c>
      <c r="S306" s="2" t="s">
        <v>43</v>
      </c>
      <c r="T306" s="2" t="n">
        <v>0.42</v>
      </c>
      <c r="U306" s="2" t="n">
        <v>0.973</v>
      </c>
    </row>
    <row r="307" customFormat="false" ht="15" hidden="false" customHeight="false" outlineLevel="0" collapsed="false">
      <c r="A307" s="2" t="s">
        <v>269</v>
      </c>
      <c r="B307" s="2" t="s">
        <v>63</v>
      </c>
      <c r="C307" s="2" t="s">
        <v>200</v>
      </c>
      <c r="D307" s="2" t="s">
        <v>40</v>
      </c>
      <c r="E307" s="2" t="n">
        <v>30</v>
      </c>
      <c r="F307" s="2" t="s">
        <v>275</v>
      </c>
      <c r="G307" s="2" t="s">
        <v>276</v>
      </c>
      <c r="H307" s="8" t="n">
        <v>93921</v>
      </c>
      <c r="I307" s="8" t="n">
        <v>323281</v>
      </c>
      <c r="J307" s="9" t="n">
        <f aca="false">H307/I307</f>
        <v>0.290524342599782</v>
      </c>
      <c r="K307" s="10" t="n">
        <v>0.334</v>
      </c>
      <c r="L307" s="8" t="n">
        <v>91745</v>
      </c>
      <c r="M307" s="9" t="n">
        <f aca="false">L307/I307</f>
        <v>0.283793356244258</v>
      </c>
      <c r="N307" s="8" t="n">
        <v>91744</v>
      </c>
      <c r="O307" s="2" t="n">
        <v>0.59</v>
      </c>
      <c r="P307" s="2" t="n">
        <v>0.34</v>
      </c>
      <c r="Q307" s="10" t="n">
        <f aca="false">L307/H307-1</f>
        <v>-0.0231684074914024</v>
      </c>
      <c r="R307" s="10" t="n">
        <f aca="false">ABS(Q307)</f>
        <v>0.0231684074914024</v>
      </c>
      <c r="S307" s="2" t="s">
        <v>43</v>
      </c>
      <c r="T307" s="2" t="n">
        <v>0.39</v>
      </c>
      <c r="U307" s="2" t="n">
        <v>0.953</v>
      </c>
    </row>
    <row r="308" customFormat="false" ht="15" hidden="false" customHeight="false" outlineLevel="0" collapsed="false">
      <c r="A308" s="2" t="s">
        <v>269</v>
      </c>
      <c r="B308" s="2" t="s">
        <v>64</v>
      </c>
      <c r="C308" s="2" t="s">
        <v>200</v>
      </c>
      <c r="D308" s="2" t="s">
        <v>40</v>
      </c>
      <c r="E308" s="2" t="n">
        <v>31</v>
      </c>
      <c r="F308" s="2" t="s">
        <v>278</v>
      </c>
      <c r="G308" s="2" t="s">
        <v>276</v>
      </c>
      <c r="H308" s="8" t="n">
        <v>132742</v>
      </c>
      <c r="I308" s="8" t="n">
        <v>447940</v>
      </c>
      <c r="J308" s="9" t="n">
        <f aca="false">H308/I308</f>
        <v>0.296338795374381</v>
      </c>
      <c r="K308" s="10" t="n">
        <v>0.375</v>
      </c>
      <c r="L308" s="8" t="n">
        <v>125284</v>
      </c>
      <c r="M308" s="9" t="n">
        <f aca="false">L308/I308</f>
        <v>0.279689244095191</v>
      </c>
      <c r="N308" s="8" t="n">
        <v>125633</v>
      </c>
      <c r="O308" s="2" t="n">
        <v>0.59</v>
      </c>
      <c r="P308" s="2" t="n">
        <v>0.34</v>
      </c>
      <c r="Q308" s="10" t="n">
        <f aca="false">L308/H308-1</f>
        <v>-0.0561841768242154</v>
      </c>
      <c r="R308" s="10" t="n">
        <f aca="false">ABS(Q308)</f>
        <v>0.0561841768242154</v>
      </c>
      <c r="S308" s="2" t="s">
        <v>43</v>
      </c>
      <c r="T308" s="2" t="n">
        <v>0.42</v>
      </c>
      <c r="U308" s="2" t="n">
        <v>0.988</v>
      </c>
    </row>
    <row r="309" customFormat="false" ht="15" hidden="false" customHeight="false" outlineLevel="0" collapsed="false">
      <c r="A309" s="2" t="s">
        <v>269</v>
      </c>
      <c r="B309" s="2" t="s">
        <v>66</v>
      </c>
      <c r="C309" s="2" t="s">
        <v>200</v>
      </c>
      <c r="D309" s="2" t="s">
        <v>40</v>
      </c>
      <c r="E309" s="2" t="n">
        <v>31</v>
      </c>
      <c r="F309" s="2" t="s">
        <v>279</v>
      </c>
      <c r="G309" s="2" t="s">
        <v>273</v>
      </c>
      <c r="H309" s="8" t="n">
        <v>189084</v>
      </c>
      <c r="I309" s="8" t="n">
        <v>631022</v>
      </c>
      <c r="J309" s="9" t="n">
        <f aca="false">H309/I309</f>
        <v>0.299647238923524</v>
      </c>
      <c r="K309" s="10" t="n">
        <v>0.315</v>
      </c>
      <c r="L309" s="8" t="n">
        <v>174170</v>
      </c>
      <c r="M309" s="9" t="n">
        <f aca="false">L309/I309</f>
        <v>0.276012563745797</v>
      </c>
      <c r="N309" s="8" t="n">
        <v>175673</v>
      </c>
      <c r="O309" s="2" t="n">
        <v>0.61</v>
      </c>
      <c r="P309" s="2" t="n">
        <v>0.37</v>
      </c>
      <c r="Q309" s="10" t="n">
        <f aca="false">L309/H309-1</f>
        <v>-0.0788749973556726</v>
      </c>
      <c r="R309" s="10" t="n">
        <f aca="false">ABS(Q309)</f>
        <v>0.0788749973556726</v>
      </c>
      <c r="S309" s="2" t="s">
        <v>43</v>
      </c>
      <c r="T309" s="2" t="n">
        <v>0.46</v>
      </c>
      <c r="U309" s="2" t="n">
        <v>0.944</v>
      </c>
    </row>
    <row r="310" customFormat="false" ht="15" hidden="false" customHeight="false" outlineLevel="0" collapsed="false">
      <c r="A310" s="2" t="s">
        <v>269</v>
      </c>
      <c r="B310" s="2" t="s">
        <v>67</v>
      </c>
      <c r="C310" s="2" t="s">
        <v>200</v>
      </c>
      <c r="D310" s="2" t="s">
        <v>40</v>
      </c>
      <c r="E310" s="2" t="n">
        <v>31</v>
      </c>
      <c r="F310" s="2" t="s">
        <v>279</v>
      </c>
      <c r="G310" s="2" t="s">
        <v>273</v>
      </c>
      <c r="H310" s="8" t="n">
        <v>219106</v>
      </c>
      <c r="I310" s="8" t="n">
        <v>740168</v>
      </c>
      <c r="J310" s="9" t="n">
        <f aca="false">H310/I310</f>
        <v>0.296021984198182</v>
      </c>
      <c r="K310" s="10" t="n">
        <v>0.271</v>
      </c>
      <c r="L310" s="8" t="n">
        <v>204734</v>
      </c>
      <c r="M310" s="9" t="n">
        <f aca="false">L310/I310</f>
        <v>0.276604770808789</v>
      </c>
      <c r="N310" s="8" t="n">
        <v>204510</v>
      </c>
      <c r="O310" s="2" t="n">
        <v>0.61</v>
      </c>
      <c r="P310" s="2" t="n">
        <v>0.37</v>
      </c>
      <c r="Q310" s="10" t="n">
        <f aca="false">L310/H310-1</f>
        <v>-0.0655938221682656</v>
      </c>
      <c r="R310" s="10" t="n">
        <f aca="false">ABS(Q310)</f>
        <v>0.0655938221682656</v>
      </c>
      <c r="S310" s="2" t="s">
        <v>43</v>
      </c>
      <c r="T310" s="2" t="n">
        <v>0.46</v>
      </c>
      <c r="U310" s="2" t="n">
        <v>0.958</v>
      </c>
    </row>
    <row r="311" customFormat="false" ht="15" hidden="false" customHeight="false" outlineLevel="0" collapsed="false">
      <c r="A311" s="2" t="s">
        <v>269</v>
      </c>
      <c r="B311" s="2" t="s">
        <v>68</v>
      </c>
      <c r="C311" s="2" t="s">
        <v>200</v>
      </c>
      <c r="D311" s="2" t="s">
        <v>40</v>
      </c>
      <c r="E311" s="2" t="n">
        <v>30</v>
      </c>
      <c r="F311" s="2" t="s">
        <v>279</v>
      </c>
      <c r="G311" s="2" t="s">
        <v>273</v>
      </c>
      <c r="H311" s="8" t="n">
        <v>181141</v>
      </c>
      <c r="I311" s="8" t="n">
        <v>609159</v>
      </c>
      <c r="J311" s="9" t="n">
        <f aca="false">H311/I311</f>
        <v>0.297362429185155</v>
      </c>
      <c r="K311" s="10" t="n">
        <v>0.295</v>
      </c>
      <c r="L311" s="8" t="n">
        <v>168279</v>
      </c>
      <c r="M311" s="9" t="n">
        <f aca="false">L311/I311</f>
        <v>0.276248073163164</v>
      </c>
      <c r="N311" s="8" t="n">
        <v>168099</v>
      </c>
      <c r="O311" s="2" t="n">
        <v>0.61</v>
      </c>
      <c r="P311" s="2" t="n">
        <v>0.37</v>
      </c>
      <c r="Q311" s="10" t="n">
        <f aca="false">L311/H311-1</f>
        <v>-0.0710054598351561</v>
      </c>
      <c r="R311" s="10" t="n">
        <f aca="false">ABS(Q311)</f>
        <v>0.0710054598351561</v>
      </c>
      <c r="S311" s="2" t="s">
        <v>43</v>
      </c>
      <c r="T311" s="2" t="n">
        <v>0.46</v>
      </c>
      <c r="U311" s="2" t="n">
        <v>0.957</v>
      </c>
    </row>
    <row r="312" customFormat="false" ht="15" hidden="false" customHeight="false" outlineLevel="0" collapsed="false">
      <c r="A312" s="2" t="s">
        <v>280</v>
      </c>
      <c r="B312" s="2" t="s">
        <v>38</v>
      </c>
      <c r="C312" s="2" t="s">
        <v>200</v>
      </c>
      <c r="D312" s="2" t="s">
        <v>140</v>
      </c>
      <c r="E312" s="2" t="n">
        <v>31</v>
      </c>
      <c r="F312" s="2" t="s">
        <v>204</v>
      </c>
      <c r="G312" s="2" t="s">
        <v>205</v>
      </c>
      <c r="H312" s="8" t="n">
        <v>6891</v>
      </c>
      <c r="I312" s="8" t="n">
        <v>14157</v>
      </c>
      <c r="J312" s="9" t="n">
        <f aca="false">H312/I312</f>
        <v>0.48675566857385</v>
      </c>
      <c r="K312" s="10" t="n">
        <v>0.234</v>
      </c>
      <c r="L312" s="8" t="n">
        <v>6461</v>
      </c>
      <c r="M312" s="9" t="n">
        <f aca="false">L312/I312</f>
        <v>0.456382001836547</v>
      </c>
      <c r="N312" s="8" t="n">
        <v>6473</v>
      </c>
      <c r="O312" s="2" t="n">
        <v>0.45</v>
      </c>
      <c r="P312" s="2" t="n">
        <v>0.04</v>
      </c>
      <c r="Q312" s="10" t="n">
        <f aca="false">L312/H312-1</f>
        <v>-0.0624002321869105</v>
      </c>
      <c r="R312" s="10" t="n">
        <f aca="false">ABS(Q312)</f>
        <v>0.0624002321869105</v>
      </c>
      <c r="S312" s="2" t="s">
        <v>43</v>
      </c>
      <c r="T312" s="2" t="n">
        <v>0.17</v>
      </c>
      <c r="U312" s="2" t="n">
        <v>0.955</v>
      </c>
    </row>
    <row r="313" customFormat="false" ht="15" hidden="false" customHeight="false" outlineLevel="0" collapsed="false">
      <c r="A313" s="2" t="s">
        <v>280</v>
      </c>
      <c r="B313" s="2" t="s">
        <v>46</v>
      </c>
      <c r="C313" s="2" t="s">
        <v>200</v>
      </c>
      <c r="D313" s="2" t="s">
        <v>140</v>
      </c>
      <c r="E313" s="2" t="n">
        <v>31</v>
      </c>
      <c r="F313" s="2" t="s">
        <v>281</v>
      </c>
      <c r="G313" s="2" t="s">
        <v>282</v>
      </c>
      <c r="H313" s="8" t="n">
        <v>8521</v>
      </c>
      <c r="I313" s="8" t="n">
        <v>17492</v>
      </c>
      <c r="J313" s="9" t="n">
        <f aca="false">H313/I313</f>
        <v>0.487136976903727</v>
      </c>
      <c r="K313" s="10" t="n">
        <v>0.27</v>
      </c>
      <c r="L313" s="8" t="n">
        <v>7857</v>
      </c>
      <c r="M313" s="9" t="n">
        <f aca="false">L313/I313</f>
        <v>0.449176766521839</v>
      </c>
      <c r="N313" s="8" t="n">
        <v>7394</v>
      </c>
      <c r="O313" s="2" t="n">
        <v>0.45</v>
      </c>
      <c r="P313" s="2" t="n">
        <v>0.04</v>
      </c>
      <c r="Q313" s="10" t="n">
        <f aca="false">L313/H313-1</f>
        <v>-0.0779251261589016</v>
      </c>
      <c r="R313" s="10" t="n">
        <f aca="false">ABS(Q313)</f>
        <v>0.0779251261589016</v>
      </c>
      <c r="S313" s="2" t="s">
        <v>43</v>
      </c>
      <c r="T313" s="2" t="n">
        <v>0.15</v>
      </c>
      <c r="U313" s="2" t="n">
        <v>0.935</v>
      </c>
    </row>
    <row r="314" customFormat="false" ht="15" hidden="false" customHeight="false" outlineLevel="0" collapsed="false">
      <c r="A314" s="2" t="s">
        <v>280</v>
      </c>
      <c r="B314" s="2" t="s">
        <v>76</v>
      </c>
      <c r="C314" s="2" t="s">
        <v>200</v>
      </c>
      <c r="D314" s="2" t="s">
        <v>140</v>
      </c>
      <c r="E314" s="2" t="n">
        <v>31</v>
      </c>
      <c r="F314" s="2" t="s">
        <v>283</v>
      </c>
      <c r="G314" s="2" t="s">
        <v>284</v>
      </c>
      <c r="H314" s="8" t="n">
        <v>17276</v>
      </c>
      <c r="I314" s="8" t="n">
        <v>46770</v>
      </c>
      <c r="J314" s="9" t="n">
        <f aca="false">H314/I314</f>
        <v>0.369382082531537</v>
      </c>
      <c r="K314" s="10" t="n">
        <v>0.263</v>
      </c>
      <c r="L314" s="8" t="n">
        <v>16872</v>
      </c>
      <c r="M314" s="9" t="n">
        <f aca="false">L314/I314</f>
        <v>0.360744066709429</v>
      </c>
      <c r="N314" s="8" t="n">
        <v>15703</v>
      </c>
      <c r="O314" s="2" t="n">
        <v>0.45</v>
      </c>
      <c r="P314" s="2" t="n">
        <v>0.29</v>
      </c>
      <c r="Q314" s="10" t="n">
        <f aca="false">L314/H314-1</f>
        <v>-0.0233850428339893</v>
      </c>
      <c r="R314" s="10" t="n">
        <f aca="false">ABS(Q314)</f>
        <v>0.0233850428339893</v>
      </c>
      <c r="S314" s="2" t="s">
        <v>43</v>
      </c>
      <c r="T314" s="2" t="n">
        <v>0.28</v>
      </c>
      <c r="U314" s="2" t="n">
        <v>0.952</v>
      </c>
    </row>
    <row r="315" customFormat="false" ht="15" hidden="false" customHeight="false" outlineLevel="0" collapsed="false">
      <c r="A315" s="2" t="s">
        <v>280</v>
      </c>
      <c r="B315" s="2" t="s">
        <v>50</v>
      </c>
      <c r="C315" s="2" t="s">
        <v>200</v>
      </c>
      <c r="D315" s="2" t="s">
        <v>140</v>
      </c>
      <c r="E315" s="2" t="n">
        <v>29</v>
      </c>
      <c r="F315" s="2" t="s">
        <v>283</v>
      </c>
      <c r="G315" s="2" t="s">
        <v>284</v>
      </c>
      <c r="H315" s="8" t="n">
        <v>16849</v>
      </c>
      <c r="I315" s="8" t="n">
        <v>47893</v>
      </c>
      <c r="J315" s="9" t="n">
        <f aca="false">H315/I315</f>
        <v>0.351805065458418</v>
      </c>
      <c r="K315" s="10" t="n">
        <v>0.234</v>
      </c>
      <c r="L315" s="8" t="n">
        <v>16728</v>
      </c>
      <c r="M315" s="9" t="n">
        <f aca="false">L315/I315</f>
        <v>0.349278600212975</v>
      </c>
      <c r="N315" s="8" t="n">
        <v>15432</v>
      </c>
      <c r="O315" s="2" t="n">
        <v>0.45</v>
      </c>
      <c r="P315" s="2" t="n">
        <v>0.29</v>
      </c>
      <c r="Q315" s="10" t="n">
        <f aca="false">L315/H315-1</f>
        <v>-0.00718143510000591</v>
      </c>
      <c r="R315" s="10" t="n">
        <f aca="false">ABS(Q315)</f>
        <v>0.00718143510000591</v>
      </c>
      <c r="S315" s="2" t="s">
        <v>43</v>
      </c>
      <c r="T315" s="2" t="n">
        <v>0.32</v>
      </c>
      <c r="U315" s="2" t="n">
        <v>1.076</v>
      </c>
    </row>
    <row r="316" customFormat="false" ht="15" hidden="false" customHeight="false" outlineLevel="0" collapsed="false">
      <c r="A316" s="2" t="s">
        <v>280</v>
      </c>
      <c r="B316" s="2" t="s">
        <v>52</v>
      </c>
      <c r="C316" s="2" t="s">
        <v>200</v>
      </c>
      <c r="D316" s="2" t="s">
        <v>140</v>
      </c>
      <c r="E316" s="2" t="n">
        <v>31</v>
      </c>
      <c r="F316" s="2" t="s">
        <v>285</v>
      </c>
      <c r="G316" s="2" t="s">
        <v>284</v>
      </c>
      <c r="H316" s="8" t="n">
        <v>21645</v>
      </c>
      <c r="I316" s="8" t="n">
        <v>65678</v>
      </c>
      <c r="J316" s="9" t="n">
        <f aca="false">H316/I316</f>
        <v>0.329562410548433</v>
      </c>
      <c r="K316" s="10" t="n">
        <v>0.201</v>
      </c>
      <c r="L316" s="8" t="n">
        <v>20702</v>
      </c>
      <c r="M316" s="9" t="n">
        <f aca="false">L316/I316</f>
        <v>0.315204482475106</v>
      </c>
      <c r="N316" s="8" t="n">
        <v>20800</v>
      </c>
      <c r="O316" s="2" t="n">
        <v>0.51</v>
      </c>
      <c r="P316" s="2" t="n">
        <v>0.21</v>
      </c>
      <c r="Q316" s="10" t="n">
        <f aca="false">L316/H316-1</f>
        <v>-0.0435666435666435</v>
      </c>
      <c r="R316" s="10" t="n">
        <f aca="false">ABS(Q316)</f>
        <v>0.0435666435666435</v>
      </c>
      <c r="S316" s="2" t="s">
        <v>43</v>
      </c>
      <c r="T316" s="2" t="n">
        <v>0.27</v>
      </c>
      <c r="U316" s="2" t="n">
        <v>0.958</v>
      </c>
    </row>
    <row r="317" customFormat="false" ht="15" hidden="false" customHeight="false" outlineLevel="0" collapsed="false">
      <c r="A317" s="2" t="s">
        <v>280</v>
      </c>
      <c r="B317" s="2" t="s">
        <v>53</v>
      </c>
      <c r="C317" s="2" t="s">
        <v>200</v>
      </c>
      <c r="D317" s="2" t="s">
        <v>140</v>
      </c>
      <c r="E317" s="2" t="n">
        <v>31</v>
      </c>
      <c r="F317" s="2" t="s">
        <v>286</v>
      </c>
      <c r="G317" s="2" t="s">
        <v>284</v>
      </c>
      <c r="H317" s="8" t="n">
        <v>24801</v>
      </c>
      <c r="I317" s="8" t="n">
        <v>71203</v>
      </c>
      <c r="J317" s="9" t="n">
        <f aca="false">H317/I317</f>
        <v>0.348313975534739</v>
      </c>
      <c r="K317" s="10" t="n">
        <v>0.187</v>
      </c>
      <c r="L317" s="8" t="n">
        <v>22671</v>
      </c>
      <c r="M317" s="9" t="n">
        <f aca="false">L317/I317</f>
        <v>0.318399505638807</v>
      </c>
      <c r="N317" s="8" t="n">
        <v>22160</v>
      </c>
      <c r="O317" s="2" t="n">
        <v>0.51</v>
      </c>
      <c r="P317" s="2" t="n">
        <v>0.21</v>
      </c>
      <c r="Q317" s="10" t="n">
        <f aca="false">L317/H317-1</f>
        <v>-0.0858836337244466</v>
      </c>
      <c r="R317" s="10" t="n">
        <f aca="false">ABS(Q317)</f>
        <v>0.0858836337244466</v>
      </c>
      <c r="S317" s="2" t="s">
        <v>43</v>
      </c>
      <c r="T317" s="2" t="n">
        <v>0.27</v>
      </c>
      <c r="U317" s="2" t="n">
        <v>1.177</v>
      </c>
    </row>
    <row r="318" customFormat="false" ht="15" hidden="false" customHeight="false" outlineLevel="0" collapsed="false">
      <c r="A318" s="2" t="s">
        <v>280</v>
      </c>
      <c r="B318" s="2" t="s">
        <v>54</v>
      </c>
      <c r="C318" s="2" t="s">
        <v>200</v>
      </c>
      <c r="D318" s="2" t="s">
        <v>140</v>
      </c>
      <c r="E318" s="2" t="n">
        <v>30</v>
      </c>
      <c r="F318" s="2" t="s">
        <v>287</v>
      </c>
      <c r="G318" s="2" t="s">
        <v>282</v>
      </c>
      <c r="H318" s="8" t="n">
        <v>19937</v>
      </c>
      <c r="I318" s="8" t="n">
        <v>58083</v>
      </c>
      <c r="J318" s="9" t="n">
        <f aca="false">H318/I318</f>
        <v>0.343250176471601</v>
      </c>
      <c r="K318" s="10" t="n">
        <v>0.201</v>
      </c>
      <c r="L318" s="8" t="n">
        <v>18043</v>
      </c>
      <c r="M318" s="9" t="n">
        <f aca="false">L318/I318</f>
        <v>0.310641667957922</v>
      </c>
      <c r="N318" s="8" t="n">
        <v>18190</v>
      </c>
      <c r="O318" s="2" t="n">
        <v>0.51</v>
      </c>
      <c r="P318" s="2" t="n">
        <v>0.21</v>
      </c>
      <c r="Q318" s="10" t="n">
        <f aca="false">L318/H318-1</f>
        <v>-0.0949992476300346</v>
      </c>
      <c r="R318" s="10" t="n">
        <f aca="false">ABS(Q318)</f>
        <v>0.0949992476300346</v>
      </c>
      <c r="S318" s="2" t="s">
        <v>43</v>
      </c>
      <c r="T318" s="2" t="n">
        <v>0.24</v>
      </c>
      <c r="U318" s="2" t="n">
        <v>1.25</v>
      </c>
    </row>
    <row r="319" customFormat="false" ht="15" hidden="false" customHeight="false" outlineLevel="0" collapsed="false">
      <c r="A319" s="2" t="s">
        <v>280</v>
      </c>
      <c r="B319" s="2" t="s">
        <v>57</v>
      </c>
      <c r="C319" s="2" t="s">
        <v>200</v>
      </c>
      <c r="D319" s="2" t="s">
        <v>140</v>
      </c>
      <c r="E319" s="2" t="n">
        <v>31</v>
      </c>
      <c r="F319" s="2" t="s">
        <v>288</v>
      </c>
      <c r="G319" s="2" t="s">
        <v>282</v>
      </c>
      <c r="H319" s="8" t="n">
        <v>18047</v>
      </c>
      <c r="I319" s="8" t="n">
        <v>45014</v>
      </c>
      <c r="J319" s="9" t="n">
        <f aca="false">H319/I319</f>
        <v>0.400919713866797</v>
      </c>
      <c r="K319" s="10" t="n">
        <v>0.219</v>
      </c>
      <c r="L319" s="8" t="n">
        <v>14123</v>
      </c>
      <c r="M319" s="9" t="n">
        <f aca="false">L319/I319</f>
        <v>0.313746834318212</v>
      </c>
      <c r="N319" s="8" t="n">
        <v>14445</v>
      </c>
      <c r="O319" s="2" t="n">
        <v>0.45</v>
      </c>
      <c r="P319" s="2" t="n">
        <v>0.26</v>
      </c>
      <c r="Q319" s="10" t="n">
        <f aca="false">L319/H319-1</f>
        <v>-0.217432260209453</v>
      </c>
      <c r="R319" s="10" t="n">
        <f aca="false">ABS(Q319)</f>
        <v>0.217432260209453</v>
      </c>
      <c r="S319" s="2" t="s">
        <v>43</v>
      </c>
      <c r="T319" s="2" t="n">
        <v>0.22</v>
      </c>
      <c r="U319" s="2" t="n">
        <v>0.993</v>
      </c>
    </row>
    <row r="320" customFormat="false" ht="15" hidden="false" customHeight="false" outlineLevel="0" collapsed="false">
      <c r="A320" s="2" t="s">
        <v>280</v>
      </c>
      <c r="B320" s="2" t="s">
        <v>58</v>
      </c>
      <c r="C320" s="2" t="s">
        <v>200</v>
      </c>
      <c r="D320" s="2" t="s">
        <v>140</v>
      </c>
      <c r="E320" s="2" t="n">
        <v>30</v>
      </c>
      <c r="F320" s="2" t="s">
        <v>289</v>
      </c>
      <c r="G320" s="2" t="s">
        <v>282</v>
      </c>
      <c r="H320" s="8" t="n">
        <v>11164</v>
      </c>
      <c r="I320" s="8" t="n">
        <v>26408</v>
      </c>
      <c r="J320" s="9" t="n">
        <f aca="false">H320/I320</f>
        <v>0.422750681611633</v>
      </c>
      <c r="K320" s="10" t="n">
        <v>0.243</v>
      </c>
      <c r="L320" s="8" t="n">
        <v>9640</v>
      </c>
      <c r="M320" s="9" t="n">
        <f aca="false">L320/I320</f>
        <v>0.36504089669797</v>
      </c>
      <c r="N320" s="8" t="n">
        <v>8989</v>
      </c>
      <c r="O320" s="2" t="n">
        <v>0.45</v>
      </c>
      <c r="P320" s="2" t="n">
        <v>0.26</v>
      </c>
      <c r="Q320" s="10" t="n">
        <f aca="false">L320/H320-1</f>
        <v>-0.136510211393766</v>
      </c>
      <c r="R320" s="10" t="n">
        <f aca="false">ABS(Q320)</f>
        <v>0.136510211393766</v>
      </c>
      <c r="S320" s="2" t="s">
        <v>43</v>
      </c>
      <c r="T320" s="2" t="n">
        <v>0.24</v>
      </c>
      <c r="U320" s="2" t="n">
        <v>1.25</v>
      </c>
    </row>
    <row r="321" customFormat="false" ht="15" hidden="false" customHeight="false" outlineLevel="0" collapsed="false">
      <c r="A321" s="2" t="s">
        <v>280</v>
      </c>
      <c r="B321" s="2" t="s">
        <v>59</v>
      </c>
      <c r="C321" s="2" t="s">
        <v>200</v>
      </c>
      <c r="D321" s="2" t="s">
        <v>140</v>
      </c>
      <c r="E321" s="2" t="n">
        <v>31</v>
      </c>
      <c r="F321" s="2" t="s">
        <v>290</v>
      </c>
      <c r="G321" s="2" t="s">
        <v>205</v>
      </c>
      <c r="H321" s="8" t="n">
        <v>8560</v>
      </c>
      <c r="I321" s="8" t="n">
        <v>17646</v>
      </c>
      <c r="J321" s="9" t="n">
        <f aca="false">H321/I321</f>
        <v>0.485095772413011</v>
      </c>
      <c r="K321" s="10" t="n">
        <v>0.134</v>
      </c>
      <c r="L321" s="8" t="n">
        <v>7443</v>
      </c>
      <c r="M321" s="9" t="n">
        <f aca="false">L321/I321</f>
        <v>0.421795307718463</v>
      </c>
      <c r="N321" s="8" t="n">
        <v>7444</v>
      </c>
      <c r="O321" s="2" t="n">
        <v>0.45</v>
      </c>
      <c r="P321" s="2" t="n">
        <v>0.26</v>
      </c>
      <c r="Q321" s="10" t="n">
        <f aca="false">L321/H321-1</f>
        <v>-0.130490654205607</v>
      </c>
      <c r="R321" s="10" t="n">
        <f aca="false">ABS(Q321)</f>
        <v>0.130490654205607</v>
      </c>
      <c r="S321" s="2" t="s">
        <v>43</v>
      </c>
      <c r="T321" s="2" t="n">
        <v>0.21</v>
      </c>
      <c r="U321" s="2" t="n">
        <v>0.947</v>
      </c>
    </row>
    <row r="322" customFormat="false" ht="15" hidden="false" customHeight="false" outlineLevel="0" collapsed="false">
      <c r="A322" s="2" t="s">
        <v>280</v>
      </c>
      <c r="B322" s="2" t="s">
        <v>60</v>
      </c>
      <c r="C322" s="2" t="s">
        <v>200</v>
      </c>
      <c r="D322" s="2" t="s">
        <v>140</v>
      </c>
      <c r="E322" s="2" t="n">
        <v>31</v>
      </c>
      <c r="F322" s="2" t="s">
        <v>291</v>
      </c>
      <c r="G322" s="2" t="s">
        <v>292</v>
      </c>
      <c r="H322" s="8" t="n">
        <v>4962</v>
      </c>
      <c r="I322" s="8" t="n">
        <v>9831</v>
      </c>
      <c r="J322" s="9" t="n">
        <f aca="false">H322/I322</f>
        <v>0.504729935916997</v>
      </c>
      <c r="K322" s="10" t="n">
        <v>0.27</v>
      </c>
      <c r="L322" s="8" t="n">
        <v>5240</v>
      </c>
      <c r="M322" s="9" t="n">
        <f aca="false">L322/I322</f>
        <v>0.533007832367002</v>
      </c>
      <c r="N322" s="8" t="n">
        <v>5305</v>
      </c>
      <c r="O322" s="2" t="n">
        <v>0.53</v>
      </c>
      <c r="P322" s="2" t="n">
        <v>0.3</v>
      </c>
      <c r="Q322" s="10" t="n">
        <f aca="false">L322/H322-1</f>
        <v>0.0560257960499799</v>
      </c>
      <c r="R322" s="10" t="n">
        <f aca="false">ABS(Q322)</f>
        <v>0.0560257960499799</v>
      </c>
      <c r="S322" s="2" t="s">
        <v>43</v>
      </c>
      <c r="T322" s="2" t="n">
        <v>0.13</v>
      </c>
      <c r="U322" s="2" t="n">
        <v>0.875</v>
      </c>
    </row>
    <row r="323" customFormat="false" ht="15" hidden="false" customHeight="false" outlineLevel="0" collapsed="false">
      <c r="A323" s="2" t="s">
        <v>280</v>
      </c>
      <c r="B323" s="2" t="s">
        <v>61</v>
      </c>
      <c r="C323" s="2" t="s">
        <v>200</v>
      </c>
      <c r="D323" s="2" t="s">
        <v>140</v>
      </c>
      <c r="E323" s="2" t="n">
        <v>28</v>
      </c>
      <c r="F323" s="2" t="s">
        <v>158</v>
      </c>
      <c r="G323" s="2" t="s">
        <v>159</v>
      </c>
      <c r="H323" s="8" t="n">
        <v>5888</v>
      </c>
      <c r="I323" s="8" t="n">
        <v>13076</v>
      </c>
      <c r="J323" s="9" t="n">
        <f aca="false">H323/I323</f>
        <v>0.450290608748853</v>
      </c>
      <c r="K323" s="10" t="n">
        <v>0.202</v>
      </c>
      <c r="L323" s="8" t="n">
        <v>5248</v>
      </c>
      <c r="M323" s="9" t="n">
        <f aca="false">L323/I323</f>
        <v>0.401345977363108</v>
      </c>
      <c r="N323" s="8" t="n">
        <v>5326</v>
      </c>
      <c r="O323" s="2" t="n">
        <v>0.53</v>
      </c>
      <c r="P323" s="2" t="n">
        <v>0.3</v>
      </c>
      <c r="Q323" s="10" t="n">
        <f aca="false">L323/H323-1</f>
        <v>-0.108695652173913</v>
      </c>
      <c r="R323" s="10" t="n">
        <f aca="false">ABS(Q323)</f>
        <v>0.108695652173913</v>
      </c>
      <c r="S323" s="2" t="s">
        <v>43</v>
      </c>
      <c r="T323" s="2" t="n">
        <v>0.25</v>
      </c>
      <c r="U323" s="2" t="n">
        <v>1.141</v>
      </c>
    </row>
    <row r="324" customFormat="false" ht="15" hidden="false" customHeight="false" outlineLevel="0" collapsed="false">
      <c r="A324" s="2" t="s">
        <v>280</v>
      </c>
      <c r="B324" s="2" t="s">
        <v>62</v>
      </c>
      <c r="C324" s="2" t="s">
        <v>200</v>
      </c>
      <c r="D324" s="2" t="s">
        <v>140</v>
      </c>
      <c r="E324" s="2" t="n">
        <v>31</v>
      </c>
      <c r="F324" s="2" t="s">
        <v>198</v>
      </c>
      <c r="G324" s="2" t="s">
        <v>159</v>
      </c>
      <c r="H324" s="8" t="n">
        <v>6374</v>
      </c>
      <c r="I324" s="8" t="n">
        <v>14843</v>
      </c>
      <c r="J324" s="9" t="n">
        <f aca="false">H324/I324</f>
        <v>0.429428013204878</v>
      </c>
      <c r="K324" s="10" t="n">
        <v>0.177</v>
      </c>
      <c r="L324" s="8" t="n">
        <v>6272</v>
      </c>
      <c r="M324" s="9" t="n">
        <f aca="false">L324/I324</f>
        <v>0.422556087044398</v>
      </c>
      <c r="N324" s="8" t="n">
        <v>6464</v>
      </c>
      <c r="O324" s="2" t="n">
        <v>0.53</v>
      </c>
      <c r="P324" s="2" t="n">
        <v>0.3</v>
      </c>
      <c r="Q324" s="10" t="n">
        <f aca="false">L324/H324-1</f>
        <v>-0.0160025101976781</v>
      </c>
      <c r="R324" s="10" t="n">
        <f aca="false">ABS(Q324)</f>
        <v>0.0160025101976781</v>
      </c>
      <c r="S324" s="2" t="s">
        <v>43</v>
      </c>
      <c r="T324" s="2" t="n">
        <v>0.22</v>
      </c>
      <c r="U324" s="2" t="n">
        <v>0.998</v>
      </c>
    </row>
    <row r="325" customFormat="false" ht="15" hidden="false" customHeight="false" outlineLevel="0" collapsed="false">
      <c r="A325" s="2" t="s">
        <v>280</v>
      </c>
      <c r="B325" s="2" t="s">
        <v>63</v>
      </c>
      <c r="C325" s="2" t="s">
        <v>200</v>
      </c>
      <c r="D325" s="2" t="s">
        <v>140</v>
      </c>
      <c r="E325" s="2" t="n">
        <v>30</v>
      </c>
      <c r="F325" s="2" t="s">
        <v>293</v>
      </c>
      <c r="G325" s="2" t="s">
        <v>155</v>
      </c>
      <c r="H325" s="8" t="n">
        <v>7995</v>
      </c>
      <c r="I325" s="8" t="n">
        <v>19768</v>
      </c>
      <c r="J325" s="9" t="n">
        <f aca="false">H325/I325</f>
        <v>0.404441521651153</v>
      </c>
      <c r="K325" s="10" t="n">
        <v>0.269</v>
      </c>
      <c r="L325" s="8" t="n">
        <v>8322</v>
      </c>
      <c r="M325" s="9" t="n">
        <f aca="false">L325/I325</f>
        <v>0.420983407527317</v>
      </c>
      <c r="N325" s="8" t="n">
        <v>8372</v>
      </c>
      <c r="O325" s="2" t="n">
        <v>0.52</v>
      </c>
      <c r="P325" s="2" t="n">
        <v>0.32</v>
      </c>
      <c r="Q325" s="10" t="n">
        <f aca="false">L325/H325-1</f>
        <v>0.0409005628517825</v>
      </c>
      <c r="R325" s="10" t="n">
        <f aca="false">ABS(Q325)</f>
        <v>0.0409005628517825</v>
      </c>
      <c r="S325" s="2" t="s">
        <v>43</v>
      </c>
      <c r="T325" s="2" t="n">
        <v>0.23</v>
      </c>
      <c r="U325" s="2" t="n">
        <v>0.929</v>
      </c>
    </row>
    <row r="326" customFormat="false" ht="15" hidden="false" customHeight="false" outlineLevel="0" collapsed="false">
      <c r="A326" s="2" t="s">
        <v>280</v>
      </c>
      <c r="B326" s="2" t="s">
        <v>64</v>
      </c>
      <c r="C326" s="2" t="s">
        <v>200</v>
      </c>
      <c r="D326" s="2" t="s">
        <v>140</v>
      </c>
      <c r="E326" s="2" t="n">
        <v>30</v>
      </c>
      <c r="F326" s="2" t="s">
        <v>294</v>
      </c>
      <c r="G326" s="2" t="s">
        <v>155</v>
      </c>
      <c r="H326" s="8" t="n">
        <v>12019</v>
      </c>
      <c r="I326" s="8" t="n">
        <v>29714</v>
      </c>
      <c r="J326" s="9" t="n">
        <f aca="false">H326/I326</f>
        <v>0.404489466244868</v>
      </c>
      <c r="K326" s="10" t="n">
        <v>0.33</v>
      </c>
      <c r="L326" s="8" t="n">
        <v>11643</v>
      </c>
      <c r="M326" s="9" t="n">
        <f aca="false">L326/I326</f>
        <v>0.391835498418254</v>
      </c>
      <c r="N326" s="8" t="n">
        <v>11539</v>
      </c>
      <c r="O326" s="2" t="n">
        <v>0.52</v>
      </c>
      <c r="P326" s="2" t="n">
        <v>0.32</v>
      </c>
      <c r="Q326" s="10" t="n">
        <f aca="false">L326/H326-1</f>
        <v>-0.0312838006489725</v>
      </c>
      <c r="R326" s="10" t="n">
        <f aca="false">ABS(Q326)</f>
        <v>0.0312838006489725</v>
      </c>
      <c r="S326" s="2" t="s">
        <v>43</v>
      </c>
      <c r="T326" s="2" t="n">
        <v>0.32</v>
      </c>
      <c r="U326" s="2" t="n">
        <v>1.22</v>
      </c>
    </row>
    <row r="327" customFormat="false" ht="15" hidden="false" customHeight="false" outlineLevel="0" collapsed="false">
      <c r="A327" s="2" t="s">
        <v>280</v>
      </c>
      <c r="B327" s="2" t="s">
        <v>65</v>
      </c>
      <c r="C327" s="2" t="s">
        <v>200</v>
      </c>
      <c r="D327" s="2" t="s">
        <v>140</v>
      </c>
      <c r="E327" s="2" t="n">
        <v>30</v>
      </c>
      <c r="F327" s="2" t="s">
        <v>295</v>
      </c>
      <c r="G327" s="2" t="s">
        <v>155</v>
      </c>
      <c r="H327" s="8" t="n">
        <v>14532</v>
      </c>
      <c r="I327" s="8" t="n">
        <v>36786</v>
      </c>
      <c r="J327" s="9" t="n">
        <f aca="false">H327/I327</f>
        <v>0.395041591909966</v>
      </c>
      <c r="K327" s="10" t="n">
        <v>0.279</v>
      </c>
      <c r="L327" s="8" t="n">
        <v>14771</v>
      </c>
      <c r="M327" s="9" t="n">
        <f aca="false">L327/I327</f>
        <v>0.401538628826184</v>
      </c>
      <c r="N327" s="8" t="n">
        <v>14282</v>
      </c>
      <c r="O327" s="2" t="n">
        <v>0.52</v>
      </c>
      <c r="P327" s="2" t="n">
        <v>0.32</v>
      </c>
      <c r="Q327" s="10" t="n">
        <f aca="false">L327/H327-1</f>
        <v>0.0164464629782548</v>
      </c>
      <c r="R327" s="10" t="n">
        <f aca="false">ABS(Q327)</f>
        <v>0.0164464629782548</v>
      </c>
      <c r="S327" s="2" t="s">
        <v>43</v>
      </c>
      <c r="T327" s="2" t="n">
        <v>0.36</v>
      </c>
      <c r="U327" s="2" t="n">
        <v>1.25</v>
      </c>
    </row>
    <row r="328" customFormat="false" ht="15" hidden="false" customHeight="false" outlineLevel="0" collapsed="false">
      <c r="A328" s="2" t="s">
        <v>296</v>
      </c>
      <c r="B328" s="2" t="s">
        <v>38</v>
      </c>
      <c r="C328" s="2" t="s">
        <v>200</v>
      </c>
      <c r="D328" s="2" t="s">
        <v>140</v>
      </c>
      <c r="E328" s="2" t="n">
        <v>31</v>
      </c>
      <c r="F328" s="2" t="s">
        <v>154</v>
      </c>
      <c r="G328" s="2" t="s">
        <v>155</v>
      </c>
      <c r="H328" s="8" t="n">
        <v>3913</v>
      </c>
      <c r="I328" s="8" t="n">
        <v>8294</v>
      </c>
      <c r="J328" s="9" t="n">
        <f aca="false">H328/I328</f>
        <v>0.471786833855799</v>
      </c>
      <c r="K328" s="10" t="n">
        <v>0.071</v>
      </c>
      <c r="L328" s="8" t="n">
        <v>4023</v>
      </c>
      <c r="M328" s="9" t="n">
        <f aca="false">L328/I328</f>
        <v>0.485049433325295</v>
      </c>
      <c r="N328" s="8" t="n">
        <v>3995</v>
      </c>
      <c r="O328" s="2" t="n">
        <v>0.45</v>
      </c>
      <c r="P328" s="2" t="n">
        <v>0.11</v>
      </c>
      <c r="Q328" s="10" t="n">
        <f aca="false">L328/H328-1</f>
        <v>0.0281114234602606</v>
      </c>
      <c r="R328" s="10" t="n">
        <f aca="false">ABS(Q328)</f>
        <v>0.0281114234602606</v>
      </c>
      <c r="S328" s="2" t="s">
        <v>146</v>
      </c>
      <c r="T328" s="2" t="n">
        <v>0.16</v>
      </c>
      <c r="U328" s="2" t="n">
        <v>1.058</v>
      </c>
    </row>
    <row r="329" customFormat="false" ht="15" hidden="false" customHeight="false" outlineLevel="0" collapsed="false">
      <c r="A329" s="2" t="s">
        <v>296</v>
      </c>
      <c r="B329" s="2" t="s">
        <v>44</v>
      </c>
      <c r="C329" s="2" t="s">
        <v>200</v>
      </c>
      <c r="D329" s="2" t="s">
        <v>140</v>
      </c>
      <c r="E329" s="2" t="n">
        <v>28</v>
      </c>
      <c r="F329" s="2" t="s">
        <v>154</v>
      </c>
      <c r="G329" s="2" t="s">
        <v>155</v>
      </c>
      <c r="H329" s="8" t="n">
        <v>4283</v>
      </c>
      <c r="I329" s="8" t="n">
        <v>9295</v>
      </c>
      <c r="J329" s="9" t="n">
        <f aca="false">H329/I329</f>
        <v>0.460785368477676</v>
      </c>
      <c r="K329" s="10" t="n">
        <v>0.118</v>
      </c>
      <c r="L329" s="8" t="n">
        <v>4224</v>
      </c>
      <c r="M329" s="9" t="n">
        <f aca="false">L329/I329</f>
        <v>0.454437869822485</v>
      </c>
      <c r="N329" s="8" t="n">
        <v>4523</v>
      </c>
      <c r="O329" s="2" t="n">
        <v>0.45</v>
      </c>
      <c r="P329" s="2" t="n">
        <v>0.11</v>
      </c>
      <c r="Q329" s="10" t="n">
        <f aca="false">L329/H329-1</f>
        <v>-0.013775391081018</v>
      </c>
      <c r="R329" s="10" t="n">
        <f aca="false">ABS(Q329)</f>
        <v>0.013775391081018</v>
      </c>
      <c r="S329" s="2" t="s">
        <v>146</v>
      </c>
      <c r="T329" s="2" t="n">
        <v>0.17</v>
      </c>
      <c r="U329" s="2" t="n">
        <v>1.072</v>
      </c>
    </row>
    <row r="330" customFormat="false" ht="15" hidden="false" customHeight="false" outlineLevel="0" collapsed="false">
      <c r="A330" s="2" t="s">
        <v>296</v>
      </c>
      <c r="B330" s="2" t="s">
        <v>46</v>
      </c>
      <c r="C330" s="2" t="s">
        <v>200</v>
      </c>
      <c r="D330" s="2" t="s">
        <v>140</v>
      </c>
      <c r="E330" s="2" t="n">
        <v>27</v>
      </c>
      <c r="F330" s="2" t="s">
        <v>154</v>
      </c>
      <c r="G330" s="2" t="s">
        <v>155</v>
      </c>
      <c r="H330" s="8" t="n">
        <v>4573</v>
      </c>
      <c r="I330" s="8" t="n">
        <v>8771</v>
      </c>
      <c r="J330" s="9" t="n">
        <f aca="false">H330/I330</f>
        <v>0.521377265990195</v>
      </c>
      <c r="K330" s="10" t="n">
        <v>0.15</v>
      </c>
      <c r="L330" s="8" t="n">
        <v>3857</v>
      </c>
      <c r="M330" s="9" t="n">
        <f aca="false">L330/I330</f>
        <v>0.439744612928971</v>
      </c>
      <c r="N330" s="8" t="n">
        <v>3826</v>
      </c>
      <c r="O330" s="2" t="n">
        <v>0.45</v>
      </c>
      <c r="P330" s="2" t="n">
        <v>0.11</v>
      </c>
      <c r="Q330" s="10" t="n">
        <f aca="false">L330/H330-1</f>
        <v>-0.156571178657337</v>
      </c>
      <c r="R330" s="10" t="n">
        <f aca="false">ABS(Q330)</f>
        <v>0.156571178657337</v>
      </c>
      <c r="S330" s="2" t="s">
        <v>146</v>
      </c>
      <c r="T330" s="2" t="n">
        <v>0.19</v>
      </c>
      <c r="U330" s="2" t="n">
        <v>1.25</v>
      </c>
    </row>
    <row r="331" customFormat="false" ht="15" hidden="false" customHeight="false" outlineLevel="0" collapsed="false">
      <c r="A331" s="2" t="s">
        <v>296</v>
      </c>
      <c r="B331" s="2" t="s">
        <v>48</v>
      </c>
      <c r="C331" s="2" t="s">
        <v>200</v>
      </c>
      <c r="D331" s="2" t="s">
        <v>140</v>
      </c>
      <c r="E331" s="2" t="n">
        <v>30</v>
      </c>
      <c r="F331" s="2" t="s">
        <v>154</v>
      </c>
      <c r="G331" s="2" t="s">
        <v>155</v>
      </c>
      <c r="H331" s="8" t="n">
        <v>10399</v>
      </c>
      <c r="I331" s="8" t="n">
        <v>23584</v>
      </c>
      <c r="J331" s="9" t="n">
        <f aca="false">H331/I331</f>
        <v>0.440934531886024</v>
      </c>
      <c r="K331" s="10" t="n">
        <v>0.221</v>
      </c>
      <c r="L331" s="8" t="n">
        <v>8989</v>
      </c>
      <c r="M331" s="9" t="n">
        <f aca="false">L331/I331</f>
        <v>0.381148236092266</v>
      </c>
      <c r="N331" s="8" t="n">
        <v>10450</v>
      </c>
      <c r="O331" s="2" t="n">
        <v>0.51</v>
      </c>
      <c r="P331" s="2" t="n">
        <v>0.21</v>
      </c>
      <c r="Q331" s="10" t="n">
        <f aca="false">L331/H331-1</f>
        <v>-0.135589960573132</v>
      </c>
      <c r="R331" s="10" t="n">
        <f aca="false">ABS(Q331)</f>
        <v>0.135589960573132</v>
      </c>
      <c r="S331" s="2" t="s">
        <v>43</v>
      </c>
      <c r="T331" s="2" t="n">
        <v>0.27</v>
      </c>
      <c r="U331" s="2" t="n">
        <v>1.031</v>
      </c>
    </row>
    <row r="332" customFormat="false" ht="15" hidden="false" customHeight="false" outlineLevel="0" collapsed="false">
      <c r="A332" s="2" t="s">
        <v>296</v>
      </c>
      <c r="B332" s="2" t="s">
        <v>76</v>
      </c>
      <c r="C332" s="2" t="s">
        <v>200</v>
      </c>
      <c r="D332" s="2" t="s">
        <v>140</v>
      </c>
      <c r="E332" s="2" t="n">
        <v>31</v>
      </c>
      <c r="F332" s="2" t="s">
        <v>293</v>
      </c>
      <c r="G332" s="2" t="s">
        <v>155</v>
      </c>
      <c r="H332" s="8" t="n">
        <v>12551</v>
      </c>
      <c r="I332" s="8" t="n">
        <v>29556</v>
      </c>
      <c r="J332" s="9" t="n">
        <f aca="false">H332/I332</f>
        <v>0.424651508999865</v>
      </c>
      <c r="K332" s="10" t="n">
        <v>0.23</v>
      </c>
      <c r="L332" s="8" t="n">
        <v>11772</v>
      </c>
      <c r="M332" s="9" t="n">
        <f aca="false">L332/I332</f>
        <v>0.398294762484775</v>
      </c>
      <c r="N332" s="8" t="n">
        <v>12090</v>
      </c>
      <c r="O332" s="2" t="n">
        <v>0.51</v>
      </c>
      <c r="P332" s="2" t="n">
        <v>0.21</v>
      </c>
      <c r="Q332" s="10" t="n">
        <f aca="false">L332/H332-1</f>
        <v>-0.06206676758824</v>
      </c>
      <c r="R332" s="10" t="n">
        <f aca="false">ABS(Q332)</f>
        <v>0.06206676758824</v>
      </c>
      <c r="S332" s="2" t="s">
        <v>43</v>
      </c>
      <c r="T332" s="2" t="n">
        <v>0.28</v>
      </c>
      <c r="U332" s="2" t="n">
        <v>0.993</v>
      </c>
    </row>
    <row r="333" customFormat="false" ht="15" hidden="false" customHeight="false" outlineLevel="0" collapsed="false">
      <c r="A333" s="2" t="s">
        <v>296</v>
      </c>
      <c r="B333" s="2" t="s">
        <v>50</v>
      </c>
      <c r="C333" s="2" t="s">
        <v>200</v>
      </c>
      <c r="D333" s="2" t="s">
        <v>140</v>
      </c>
      <c r="E333" s="2" t="n">
        <v>28</v>
      </c>
      <c r="F333" s="2" t="s">
        <v>293</v>
      </c>
      <c r="G333" s="2" t="s">
        <v>155</v>
      </c>
      <c r="H333" s="8" t="n">
        <v>12398</v>
      </c>
      <c r="I333" s="8" t="n">
        <v>29810</v>
      </c>
      <c r="J333" s="9" t="n">
        <f aca="false">H333/I333</f>
        <v>0.41590070446159</v>
      </c>
      <c r="K333" s="10" t="n">
        <v>0.196</v>
      </c>
      <c r="L333" s="8" t="n">
        <v>11462</v>
      </c>
      <c r="M333" s="9" t="n">
        <f aca="false">L333/I333</f>
        <v>0.38450184501845</v>
      </c>
      <c r="N333" s="8" t="n">
        <v>11164</v>
      </c>
      <c r="O333" s="2" t="n">
        <v>0.51</v>
      </c>
      <c r="P333" s="2" t="n">
        <v>0.21</v>
      </c>
      <c r="Q333" s="10" t="n">
        <f aca="false">L333/H333-1</f>
        <v>-0.075496047749637</v>
      </c>
      <c r="R333" s="10" t="n">
        <f aca="false">ABS(Q333)</f>
        <v>0.075496047749637</v>
      </c>
      <c r="S333" s="2" t="s">
        <v>43</v>
      </c>
      <c r="T333" s="2" t="n">
        <v>0.31</v>
      </c>
      <c r="U333" s="2" t="n">
        <v>1.196</v>
      </c>
    </row>
    <row r="334" customFormat="false" ht="15" hidden="false" customHeight="false" outlineLevel="0" collapsed="false">
      <c r="A334" s="2" t="s">
        <v>296</v>
      </c>
      <c r="B334" s="2" t="s">
        <v>52</v>
      </c>
      <c r="C334" s="2" t="s">
        <v>200</v>
      </c>
      <c r="D334" s="2" t="s">
        <v>140</v>
      </c>
      <c r="E334" s="2" t="n">
        <v>31</v>
      </c>
      <c r="F334" s="2" t="s">
        <v>297</v>
      </c>
      <c r="G334" s="2" t="s">
        <v>155</v>
      </c>
      <c r="H334" s="8" t="n">
        <v>16549</v>
      </c>
      <c r="I334" s="8" t="n">
        <v>40882</v>
      </c>
      <c r="J334" s="9" t="n">
        <f aca="false">H334/I334</f>
        <v>0.404799178122401</v>
      </c>
      <c r="K334" s="10" t="n">
        <v>0.165</v>
      </c>
      <c r="L334" s="8" t="n">
        <v>15318</v>
      </c>
      <c r="M334" s="9" t="n">
        <f aca="false">L334/I334</f>
        <v>0.374688126803972</v>
      </c>
      <c r="N334" s="8" t="n">
        <v>14664</v>
      </c>
      <c r="O334" s="2" t="n">
        <v>0.58</v>
      </c>
      <c r="P334" s="2" t="n">
        <v>0.33</v>
      </c>
      <c r="Q334" s="10" t="n">
        <f aca="false">L334/H334-1</f>
        <v>-0.0743851592241223</v>
      </c>
      <c r="R334" s="10" t="n">
        <f aca="false">ABS(Q334)</f>
        <v>0.0743851592241223</v>
      </c>
      <c r="S334" s="2" t="s">
        <v>43</v>
      </c>
      <c r="T334" s="2" t="n">
        <v>0.36</v>
      </c>
      <c r="U334" s="2" t="n">
        <v>1.25</v>
      </c>
    </row>
    <row r="335" customFormat="false" ht="15" hidden="false" customHeight="false" outlineLevel="0" collapsed="false">
      <c r="A335" s="2" t="s">
        <v>296</v>
      </c>
      <c r="B335" s="2" t="s">
        <v>53</v>
      </c>
      <c r="C335" s="2" t="s">
        <v>200</v>
      </c>
      <c r="D335" s="2" t="s">
        <v>140</v>
      </c>
      <c r="E335" s="2" t="n">
        <v>31</v>
      </c>
      <c r="F335" s="2" t="s">
        <v>293</v>
      </c>
      <c r="G335" s="2" t="s">
        <v>298</v>
      </c>
      <c r="H335" s="8" t="n">
        <v>15694</v>
      </c>
      <c r="I335" s="8" t="n">
        <v>37704</v>
      </c>
      <c r="J335" s="9" t="n">
        <f aca="false">H335/I335</f>
        <v>0.416242308508381</v>
      </c>
      <c r="K335" s="10" t="n">
        <v>0.19</v>
      </c>
      <c r="L335" s="8" t="n">
        <v>14362</v>
      </c>
      <c r="M335" s="9" t="n">
        <f aca="false">L335/I335</f>
        <v>0.380914491831105</v>
      </c>
      <c r="N335" s="8" t="n">
        <v>14089</v>
      </c>
      <c r="O335" s="2" t="n">
        <v>0.58</v>
      </c>
      <c r="P335" s="2" t="n">
        <v>0.33</v>
      </c>
      <c r="Q335" s="10" t="n">
        <f aca="false">L335/H335-1</f>
        <v>-0.0848731999490251</v>
      </c>
      <c r="R335" s="10" t="n">
        <f aca="false">ABS(Q335)</f>
        <v>0.0848731999490251</v>
      </c>
      <c r="S335" s="2" t="s">
        <v>43</v>
      </c>
      <c r="T335" s="2" t="n">
        <v>0.34</v>
      </c>
      <c r="U335" s="2" t="n">
        <v>1.095</v>
      </c>
    </row>
    <row r="336" customFormat="false" ht="15" hidden="false" customHeight="false" outlineLevel="0" collapsed="false">
      <c r="A336" s="2" t="s">
        <v>296</v>
      </c>
      <c r="B336" s="2" t="s">
        <v>54</v>
      </c>
      <c r="C336" s="2" t="s">
        <v>200</v>
      </c>
      <c r="D336" s="2" t="s">
        <v>140</v>
      </c>
      <c r="E336" s="2" t="n">
        <v>30</v>
      </c>
      <c r="F336" s="2" t="s">
        <v>297</v>
      </c>
      <c r="G336" s="2" t="s">
        <v>298</v>
      </c>
      <c r="H336" s="8" t="n">
        <v>12399</v>
      </c>
      <c r="I336" s="8" t="n">
        <v>29155</v>
      </c>
      <c r="J336" s="9" t="n">
        <f aca="false">H336/I336</f>
        <v>0.425278682901732</v>
      </c>
      <c r="K336" s="10" t="n">
        <v>0.192</v>
      </c>
      <c r="L336" s="8" t="n">
        <v>11305</v>
      </c>
      <c r="M336" s="9" t="n">
        <f aca="false">L336/I336</f>
        <v>0.387755102040816</v>
      </c>
      <c r="N336" s="8" t="n">
        <v>11629</v>
      </c>
      <c r="O336" s="2" t="n">
        <v>0.58</v>
      </c>
      <c r="P336" s="2" t="n">
        <v>0.33</v>
      </c>
      <c r="Q336" s="10" t="n">
        <f aca="false">L336/H336-1</f>
        <v>-0.0882329220098395</v>
      </c>
      <c r="R336" s="10" t="n">
        <f aca="false">ABS(Q336)</f>
        <v>0.0882329220098395</v>
      </c>
      <c r="S336" s="2" t="s">
        <v>43</v>
      </c>
      <c r="T336" s="2" t="n">
        <v>0.31</v>
      </c>
      <c r="U336" s="2" t="n">
        <v>0.969</v>
      </c>
    </row>
    <row r="337" customFormat="false" ht="15" hidden="false" customHeight="false" outlineLevel="0" collapsed="false">
      <c r="A337" s="2" t="s">
        <v>296</v>
      </c>
      <c r="B337" s="2" t="s">
        <v>57</v>
      </c>
      <c r="C337" s="2" t="s">
        <v>200</v>
      </c>
      <c r="D337" s="2" t="s">
        <v>140</v>
      </c>
      <c r="E337" s="2" t="n">
        <v>31</v>
      </c>
      <c r="F337" s="2" t="s">
        <v>293</v>
      </c>
      <c r="G337" s="2" t="s">
        <v>298</v>
      </c>
      <c r="H337" s="8" t="n">
        <v>10359</v>
      </c>
      <c r="I337" s="8" t="n">
        <v>23660</v>
      </c>
      <c r="J337" s="9" t="n">
        <f aca="false">H337/I337</f>
        <v>0.437827557058326</v>
      </c>
      <c r="K337" s="10" t="n">
        <v>0.215</v>
      </c>
      <c r="L337" s="8" t="n">
        <v>9567</v>
      </c>
      <c r="M337" s="9" t="n">
        <f aca="false">L337/I337</f>
        <v>0.404353338968724</v>
      </c>
      <c r="N337" s="8" t="n">
        <v>9398</v>
      </c>
      <c r="O337" s="2" t="n">
        <v>0.5</v>
      </c>
      <c r="P337" s="2" t="n">
        <v>0.31</v>
      </c>
      <c r="Q337" s="10" t="n">
        <f aca="false">L337/H337-1</f>
        <v>-0.0764552562988705</v>
      </c>
      <c r="R337" s="10" t="n">
        <f aca="false">ABS(Q337)</f>
        <v>0.0764552562988705</v>
      </c>
      <c r="S337" s="2" t="s">
        <v>43</v>
      </c>
      <c r="T337" s="2" t="n">
        <v>0.25</v>
      </c>
      <c r="U337" s="2" t="n">
        <v>1.051</v>
      </c>
    </row>
    <row r="338" customFormat="false" ht="15" hidden="false" customHeight="false" outlineLevel="0" collapsed="false">
      <c r="A338" s="2" t="s">
        <v>296</v>
      </c>
      <c r="B338" s="2" t="s">
        <v>58</v>
      </c>
      <c r="C338" s="2" t="s">
        <v>200</v>
      </c>
      <c r="D338" s="2" t="s">
        <v>140</v>
      </c>
      <c r="E338" s="2" t="n">
        <v>30</v>
      </c>
      <c r="F338" s="2" t="s">
        <v>156</v>
      </c>
      <c r="G338" s="2" t="s">
        <v>298</v>
      </c>
      <c r="H338" s="8" t="n">
        <v>6751</v>
      </c>
      <c r="I338" s="8" t="n">
        <v>14272</v>
      </c>
      <c r="J338" s="9" t="n">
        <f aca="false">H338/I338</f>
        <v>0.473024103139013</v>
      </c>
      <c r="K338" s="10" t="n">
        <v>0.203</v>
      </c>
      <c r="L338" s="8" t="n">
        <v>5872</v>
      </c>
      <c r="M338" s="9" t="n">
        <f aca="false">L338/I338</f>
        <v>0.411434977578475</v>
      </c>
      <c r="N338" s="8" t="n">
        <v>6220</v>
      </c>
      <c r="O338" s="2" t="n">
        <v>0.5</v>
      </c>
      <c r="P338" s="2" t="n">
        <v>0.31</v>
      </c>
      <c r="Q338" s="10" t="n">
        <f aca="false">L338/H338-1</f>
        <v>-0.13020293289883</v>
      </c>
      <c r="R338" s="10" t="n">
        <f aca="false">ABS(Q338)</f>
        <v>0.13020293289883</v>
      </c>
      <c r="S338" s="2" t="s">
        <v>43</v>
      </c>
      <c r="T338" s="2" t="n">
        <v>0.22</v>
      </c>
      <c r="U338" s="2" t="n">
        <v>1.031</v>
      </c>
    </row>
    <row r="339" customFormat="false" ht="15" hidden="false" customHeight="false" outlineLevel="0" collapsed="false">
      <c r="A339" s="2" t="s">
        <v>296</v>
      </c>
      <c r="B339" s="2" t="s">
        <v>59</v>
      </c>
      <c r="C339" s="2" t="s">
        <v>200</v>
      </c>
      <c r="D339" s="2" t="s">
        <v>140</v>
      </c>
      <c r="E339" s="2" t="n">
        <v>31</v>
      </c>
      <c r="F339" s="2" t="s">
        <v>299</v>
      </c>
      <c r="G339" s="2" t="s">
        <v>214</v>
      </c>
      <c r="H339" s="8" t="n">
        <v>4558</v>
      </c>
      <c r="I339" s="8" t="n">
        <v>8227</v>
      </c>
      <c r="J339" s="9" t="n">
        <f aca="false">H339/I339</f>
        <v>0.554029415339735</v>
      </c>
      <c r="K339" s="10" t="n">
        <v>0.236</v>
      </c>
      <c r="L339" s="8" t="n">
        <v>4031</v>
      </c>
      <c r="M339" s="9" t="n">
        <f aca="false">L339/I339</f>
        <v>0.489972043272153</v>
      </c>
      <c r="N339" s="8" t="n">
        <v>4151</v>
      </c>
      <c r="O339" s="2" t="n">
        <v>0.5</v>
      </c>
      <c r="P339" s="2" t="n">
        <v>0.31</v>
      </c>
      <c r="Q339" s="10" t="n">
        <f aca="false">L339/H339-1</f>
        <v>-0.115620886353664</v>
      </c>
      <c r="R339" s="10" t="n">
        <f aca="false">ABS(Q339)</f>
        <v>0.115620886353664</v>
      </c>
      <c r="S339" s="2" t="s">
        <v>43</v>
      </c>
      <c r="T339" s="2" t="n">
        <v>0.15</v>
      </c>
      <c r="U339" s="2" t="n">
        <v>1.033</v>
      </c>
    </row>
    <row r="340" customFormat="false" ht="15" hidden="false" customHeight="false" outlineLevel="0" collapsed="false">
      <c r="A340" s="2" t="s">
        <v>296</v>
      </c>
      <c r="B340" s="2" t="s">
        <v>60</v>
      </c>
      <c r="C340" s="2" t="s">
        <v>200</v>
      </c>
      <c r="D340" s="2" t="s">
        <v>140</v>
      </c>
      <c r="E340" s="2" t="n">
        <v>31</v>
      </c>
      <c r="F340" s="2" t="s">
        <v>154</v>
      </c>
      <c r="G340" s="2" t="s">
        <v>155</v>
      </c>
      <c r="H340" s="8" t="n">
        <v>4216</v>
      </c>
      <c r="I340" s="8" t="n">
        <v>5784</v>
      </c>
      <c r="J340" s="9" t="n">
        <f aca="false">H340/I340</f>
        <v>0.728907330567082</v>
      </c>
      <c r="K340" s="10" t="n">
        <v>0.376</v>
      </c>
      <c r="L340" s="8" t="n">
        <v>3332</v>
      </c>
      <c r="M340" s="9" t="n">
        <f aca="false">L340/I340</f>
        <v>0.576071922544952</v>
      </c>
      <c r="N340" s="8" t="n">
        <v>3421</v>
      </c>
      <c r="O340" s="2" t="n">
        <v>0.45</v>
      </c>
      <c r="P340" s="2" t="n">
        <v>0.05</v>
      </c>
      <c r="Q340" s="10" t="n">
        <f aca="false">L340/H340-1</f>
        <v>-0.209677419354839</v>
      </c>
      <c r="R340" s="10" t="n">
        <f aca="false">ABS(Q340)</f>
        <v>0.209677419354839</v>
      </c>
      <c r="S340" s="2" t="s">
        <v>43</v>
      </c>
      <c r="T340" s="2" t="n">
        <v>0.11</v>
      </c>
      <c r="U340" s="2" t="n">
        <v>0.905</v>
      </c>
    </row>
    <row r="341" customFormat="false" ht="15" hidden="false" customHeight="false" outlineLevel="0" collapsed="false">
      <c r="A341" s="2" t="s">
        <v>296</v>
      </c>
      <c r="B341" s="2" t="s">
        <v>63</v>
      </c>
      <c r="C341" s="2" t="s">
        <v>200</v>
      </c>
      <c r="D341" s="2" t="s">
        <v>140</v>
      </c>
      <c r="E341" s="2" t="n">
        <v>30</v>
      </c>
      <c r="F341" s="2" t="s">
        <v>154</v>
      </c>
      <c r="G341" s="2" t="s">
        <v>155</v>
      </c>
      <c r="H341" s="8" t="n">
        <v>5451</v>
      </c>
      <c r="I341" s="8" t="n">
        <v>11278</v>
      </c>
      <c r="J341" s="9" t="n">
        <f aca="false">H341/I341</f>
        <v>0.483330377726547</v>
      </c>
      <c r="K341" s="10" t="n">
        <v>0.26</v>
      </c>
      <c r="L341" s="8" t="n">
        <v>5074</v>
      </c>
      <c r="M341" s="9" t="n">
        <f aca="false">L341/I341</f>
        <v>0.44990246497606</v>
      </c>
      <c r="N341" s="8" t="n">
        <v>5612</v>
      </c>
      <c r="O341" s="2" t="n">
        <v>0.45</v>
      </c>
      <c r="P341" s="2" t="n">
        <v>0.13</v>
      </c>
      <c r="Q341" s="10" t="n">
        <f aca="false">L341/H341-1</f>
        <v>-0.0691616217207852</v>
      </c>
      <c r="R341" s="10" t="n">
        <f aca="false">ABS(Q341)</f>
        <v>0.0691616217207852</v>
      </c>
      <c r="S341" s="2" t="s">
        <v>43</v>
      </c>
      <c r="T341" s="2" t="n">
        <v>0.18</v>
      </c>
      <c r="U341" s="2" t="n">
        <v>0.996</v>
      </c>
    </row>
    <row r="342" customFormat="false" ht="15" hidden="false" customHeight="false" outlineLevel="0" collapsed="false">
      <c r="A342" s="2" t="s">
        <v>296</v>
      </c>
      <c r="B342" s="2" t="s">
        <v>64</v>
      </c>
      <c r="C342" s="2" t="s">
        <v>200</v>
      </c>
      <c r="D342" s="2" t="s">
        <v>140</v>
      </c>
      <c r="E342" s="2" t="n">
        <v>31</v>
      </c>
      <c r="F342" s="2" t="s">
        <v>300</v>
      </c>
      <c r="G342" s="2" t="s">
        <v>155</v>
      </c>
      <c r="H342" s="8" t="n">
        <v>5978</v>
      </c>
      <c r="I342" s="8" t="n">
        <v>11726</v>
      </c>
      <c r="J342" s="9" t="n">
        <f aca="false">H342/I342</f>
        <v>0.509807265904827</v>
      </c>
      <c r="K342" s="10" t="n">
        <v>0.332</v>
      </c>
      <c r="L342" s="8" t="n">
        <v>7266</v>
      </c>
      <c r="M342" s="9" t="n">
        <f aca="false">L342/I342</f>
        <v>0.619648644038888</v>
      </c>
      <c r="N342" s="8" t="n">
        <v>6227</v>
      </c>
      <c r="O342" s="2" t="n">
        <v>0.45</v>
      </c>
      <c r="P342" s="2" t="n">
        <v>0.13</v>
      </c>
      <c r="Q342" s="10" t="n">
        <f aca="false">L342/H342-1</f>
        <v>0.215456674473068</v>
      </c>
      <c r="R342" s="10" t="n">
        <f aca="false">ABS(Q342)</f>
        <v>0.215456674473068</v>
      </c>
      <c r="S342" s="2" t="s">
        <v>43</v>
      </c>
      <c r="T342" s="2" t="n">
        <v>0.14</v>
      </c>
      <c r="U342" s="2" t="n">
        <v>1.124</v>
      </c>
    </row>
    <row r="343" customFormat="false" ht="15" hidden="false" customHeight="false" outlineLevel="0" collapsed="false">
      <c r="A343" s="2" t="s">
        <v>296</v>
      </c>
      <c r="B343" s="2" t="s">
        <v>65</v>
      </c>
      <c r="C343" s="2" t="s">
        <v>200</v>
      </c>
      <c r="D343" s="2" t="s">
        <v>140</v>
      </c>
      <c r="E343" s="2" t="n">
        <v>30</v>
      </c>
      <c r="F343" s="2" t="s">
        <v>300</v>
      </c>
      <c r="G343" s="2" t="s">
        <v>155</v>
      </c>
      <c r="H343" s="8" t="n">
        <v>6102</v>
      </c>
      <c r="I343" s="8" t="n">
        <v>14000</v>
      </c>
      <c r="J343" s="9" t="n">
        <f aca="false">H343/I343</f>
        <v>0.435857142857143</v>
      </c>
      <c r="K343" s="10" t="n">
        <v>0.327</v>
      </c>
      <c r="L343" s="8" t="n">
        <v>7842</v>
      </c>
      <c r="M343" s="9" t="n">
        <f aca="false">L343/I343</f>
        <v>0.560142857142857</v>
      </c>
      <c r="N343" s="8" t="n">
        <v>7189</v>
      </c>
      <c r="O343" s="2" t="n">
        <v>0.45</v>
      </c>
      <c r="P343" s="2" t="n">
        <v>0.13</v>
      </c>
      <c r="Q343" s="10" t="n">
        <f aca="false">L343/H343-1</f>
        <v>0.285152409046214</v>
      </c>
      <c r="R343" s="10" t="n">
        <f aca="false">ABS(Q343)</f>
        <v>0.285152409046214</v>
      </c>
      <c r="S343" s="2" t="s">
        <v>43</v>
      </c>
      <c r="T343" s="2" t="n">
        <v>0.17</v>
      </c>
      <c r="U343" s="2" t="n">
        <v>1.1</v>
      </c>
    </row>
    <row r="344" customFormat="false" ht="15" hidden="false" customHeight="false" outlineLevel="0" collapsed="false">
      <c r="A344" s="2" t="s">
        <v>296</v>
      </c>
      <c r="B344" s="2" t="s">
        <v>66</v>
      </c>
      <c r="C344" s="2" t="s">
        <v>200</v>
      </c>
      <c r="D344" s="2" t="s">
        <v>140</v>
      </c>
      <c r="E344" s="2" t="n">
        <v>31</v>
      </c>
      <c r="F344" s="2" t="s">
        <v>300</v>
      </c>
      <c r="G344" s="2" t="s">
        <v>155</v>
      </c>
      <c r="H344" s="8" t="n">
        <v>7486</v>
      </c>
      <c r="I344" s="8" t="n">
        <v>15704</v>
      </c>
      <c r="J344" s="9" t="n">
        <f aca="false">H344/I344</f>
        <v>0.476693835965359</v>
      </c>
      <c r="K344" s="10" t="n">
        <v>0.35</v>
      </c>
      <c r="L344" s="8" t="n">
        <v>8338</v>
      </c>
      <c r="M344" s="9" t="n">
        <f aca="false">L344/I344</f>
        <v>0.5309475292919</v>
      </c>
      <c r="N344" s="8" t="n">
        <v>8015</v>
      </c>
      <c r="O344" s="2" t="n">
        <v>0.45</v>
      </c>
      <c r="P344" s="2" t="n">
        <v>0.1</v>
      </c>
      <c r="Q344" s="10" t="n">
        <f aca="false">L344/H344-1</f>
        <v>0.113812449906492</v>
      </c>
      <c r="R344" s="10" t="n">
        <f aca="false">ABS(Q344)</f>
        <v>0.113812449906492</v>
      </c>
      <c r="S344" s="2" t="s">
        <v>43</v>
      </c>
      <c r="T344" s="2" t="n">
        <v>0.19</v>
      </c>
      <c r="U344" s="2" t="n">
        <v>1.109</v>
      </c>
    </row>
    <row r="345" customFormat="false" ht="15" hidden="false" customHeight="false" outlineLevel="0" collapsed="false">
      <c r="A345" s="2" t="s">
        <v>296</v>
      </c>
      <c r="B345" s="2" t="s">
        <v>67</v>
      </c>
      <c r="C345" s="2" t="s">
        <v>200</v>
      </c>
      <c r="D345" s="2" t="s">
        <v>140</v>
      </c>
      <c r="E345" s="2" t="n">
        <v>31</v>
      </c>
      <c r="F345" s="2" t="s">
        <v>300</v>
      </c>
      <c r="G345" s="2" t="s">
        <v>155</v>
      </c>
      <c r="H345" s="8" t="n">
        <v>6268</v>
      </c>
      <c r="I345" s="8" t="n">
        <v>12351</v>
      </c>
      <c r="J345" s="9" t="n">
        <f aca="false">H345/I345</f>
        <v>0.507489272123715</v>
      </c>
      <c r="K345" s="10" t="n">
        <v>0.31</v>
      </c>
      <c r="L345" s="8" t="n">
        <v>7677</v>
      </c>
      <c r="M345" s="9" t="n">
        <f aca="false">L345/I345</f>
        <v>0.621569103716298</v>
      </c>
      <c r="N345" s="8" t="n">
        <v>6548</v>
      </c>
      <c r="O345" s="2" t="n">
        <v>0.45</v>
      </c>
      <c r="P345" s="2" t="n">
        <v>0.1</v>
      </c>
      <c r="Q345" s="10" t="n">
        <f aca="false">L345/H345-1</f>
        <v>0.224792597319719</v>
      </c>
      <c r="R345" s="10" t="n">
        <f aca="false">ABS(Q345)</f>
        <v>0.224792597319719</v>
      </c>
      <c r="S345" s="2" t="s">
        <v>43</v>
      </c>
      <c r="T345" s="2" t="n">
        <v>0.14</v>
      </c>
      <c r="U345" s="2" t="n">
        <v>1.105</v>
      </c>
    </row>
    <row r="346" customFormat="false" ht="15" hidden="false" customHeight="false" outlineLevel="0" collapsed="false">
      <c r="A346" s="2" t="s">
        <v>301</v>
      </c>
      <c r="B346" s="2" t="s">
        <v>38</v>
      </c>
      <c r="C346" s="2" t="s">
        <v>200</v>
      </c>
      <c r="D346" s="2" t="s">
        <v>193</v>
      </c>
      <c r="E346" s="2" t="n">
        <v>23</v>
      </c>
      <c r="F346" s="2" t="s">
        <v>302</v>
      </c>
      <c r="G346" s="2" t="s">
        <v>303</v>
      </c>
      <c r="H346" s="8" t="n">
        <v>11691</v>
      </c>
      <c r="I346" s="8" t="n">
        <v>31556</v>
      </c>
      <c r="J346" s="9" t="n">
        <f aca="false">H346/I346</f>
        <v>0.370484218532133</v>
      </c>
      <c r="K346" s="10" t="n">
        <v>0.105</v>
      </c>
      <c r="L346" s="8" t="n">
        <v>12680</v>
      </c>
      <c r="M346" s="9" t="n">
        <f aca="false">L346/I346</f>
        <v>0.401825326403854</v>
      </c>
      <c r="N346" s="8" t="n">
        <v>12734</v>
      </c>
      <c r="O346" s="2" t="n">
        <v>0.45</v>
      </c>
      <c r="P346" s="2" t="n">
        <v>0.15</v>
      </c>
      <c r="Q346" s="10" t="n">
        <f aca="false">L346/H346-1</f>
        <v>0.0845949875972971</v>
      </c>
      <c r="R346" s="10" t="n">
        <f aca="false">ABS(Q346)</f>
        <v>0.0845949875972971</v>
      </c>
      <c r="S346" s="2" t="s">
        <v>43</v>
      </c>
      <c r="T346" s="2" t="n">
        <v>0.21</v>
      </c>
      <c r="U346" s="2" t="n">
        <v>1.028</v>
      </c>
    </row>
    <row r="347" customFormat="false" ht="15" hidden="false" customHeight="false" outlineLevel="0" collapsed="false">
      <c r="A347" s="2" t="s">
        <v>301</v>
      </c>
      <c r="B347" s="2" t="s">
        <v>44</v>
      </c>
      <c r="C347" s="2" t="s">
        <v>200</v>
      </c>
      <c r="D347" s="2" t="s">
        <v>193</v>
      </c>
      <c r="E347" s="2" t="n">
        <v>25</v>
      </c>
      <c r="F347" s="2" t="s">
        <v>304</v>
      </c>
      <c r="G347" s="2" t="s">
        <v>149</v>
      </c>
      <c r="H347" s="8" t="n">
        <v>13933</v>
      </c>
      <c r="I347" s="8" t="n">
        <v>32755</v>
      </c>
      <c r="J347" s="9" t="n">
        <f aca="false">H347/I347</f>
        <v>0.425370172492749</v>
      </c>
      <c r="K347" s="10" t="n">
        <v>0.13</v>
      </c>
      <c r="L347" s="8" t="n">
        <v>14960</v>
      </c>
      <c r="M347" s="9" t="n">
        <f aca="false">L347/I347</f>
        <v>0.456724164249733</v>
      </c>
      <c r="N347" s="8" t="n">
        <v>14139</v>
      </c>
      <c r="O347" s="2" t="n">
        <v>0.45</v>
      </c>
      <c r="P347" s="2" t="n">
        <v>0.15</v>
      </c>
      <c r="Q347" s="10" t="n">
        <f aca="false">L347/H347-1</f>
        <v>0.0737098973659658</v>
      </c>
      <c r="R347" s="10" t="n">
        <f aca="false">ABS(Q347)</f>
        <v>0.0737098973659658</v>
      </c>
      <c r="S347" s="2" t="s">
        <v>43</v>
      </c>
      <c r="T347" s="2" t="n">
        <v>0.26</v>
      </c>
      <c r="U347" s="2" t="n">
        <v>1.25</v>
      </c>
    </row>
    <row r="348" customFormat="false" ht="15" hidden="false" customHeight="false" outlineLevel="0" collapsed="false">
      <c r="A348" s="2" t="s">
        <v>301</v>
      </c>
      <c r="B348" s="2" t="s">
        <v>48</v>
      </c>
      <c r="C348" s="2" t="s">
        <v>200</v>
      </c>
      <c r="D348" s="2" t="s">
        <v>193</v>
      </c>
      <c r="E348" s="2" t="n">
        <v>29</v>
      </c>
      <c r="F348" s="2" t="s">
        <v>152</v>
      </c>
      <c r="G348" s="2" t="s">
        <v>149</v>
      </c>
      <c r="H348" s="8" t="n">
        <v>18615</v>
      </c>
      <c r="I348" s="8" t="n">
        <v>44721</v>
      </c>
      <c r="J348" s="9" t="n">
        <f aca="false">H348/I348</f>
        <v>0.416247400550077</v>
      </c>
      <c r="K348" s="10" t="n">
        <v>0.2</v>
      </c>
      <c r="L348" s="8" t="n">
        <v>20131</v>
      </c>
      <c r="M348" s="9" t="n">
        <f aca="false">L348/I348</f>
        <v>0.450146463630062</v>
      </c>
      <c r="N348" s="8" t="n">
        <v>17842</v>
      </c>
      <c r="O348" s="2" t="n">
        <v>0.45</v>
      </c>
      <c r="P348" s="2" t="n">
        <v>0.16</v>
      </c>
      <c r="Q348" s="10" t="n">
        <f aca="false">L348/H348-1</f>
        <v>0.0814396991673381</v>
      </c>
      <c r="R348" s="10" t="n">
        <f aca="false">ABS(Q348)</f>
        <v>0.0814396991673381</v>
      </c>
      <c r="S348" s="2" t="s">
        <v>146</v>
      </c>
      <c r="T348" s="2" t="n">
        <v>0.28</v>
      </c>
      <c r="U348" s="2" t="n">
        <v>1.118</v>
      </c>
    </row>
    <row r="349" customFormat="false" ht="15" hidden="false" customHeight="false" outlineLevel="0" collapsed="false">
      <c r="A349" s="2" t="s">
        <v>301</v>
      </c>
      <c r="B349" s="2" t="s">
        <v>76</v>
      </c>
      <c r="C349" s="2" t="s">
        <v>200</v>
      </c>
      <c r="D349" s="2" t="s">
        <v>193</v>
      </c>
      <c r="E349" s="2" t="n">
        <v>31</v>
      </c>
      <c r="F349" s="2" t="s">
        <v>305</v>
      </c>
      <c r="G349" s="2" t="s">
        <v>306</v>
      </c>
      <c r="H349" s="8" t="n">
        <v>18678</v>
      </c>
      <c r="I349" s="8" t="n">
        <v>53039</v>
      </c>
      <c r="J349" s="9" t="n">
        <f aca="false">H349/I349</f>
        <v>0.352155960708158</v>
      </c>
      <c r="K349" s="10" t="n">
        <v>0.198</v>
      </c>
      <c r="L349" s="8" t="n">
        <v>21214</v>
      </c>
      <c r="M349" s="9" t="n">
        <f aca="false">L349/I349</f>
        <v>0.399969833518732</v>
      </c>
      <c r="N349" s="8" t="n">
        <v>18708</v>
      </c>
      <c r="O349" s="2" t="n">
        <v>0.45</v>
      </c>
      <c r="P349" s="2" t="n">
        <v>0.16</v>
      </c>
      <c r="Q349" s="10" t="n">
        <f aca="false">L349/H349-1</f>
        <v>0.135774708212871</v>
      </c>
      <c r="R349" s="10" t="n">
        <f aca="false">ABS(Q349)</f>
        <v>0.135774708212871</v>
      </c>
      <c r="S349" s="2" t="s">
        <v>146</v>
      </c>
      <c r="T349" s="2" t="n">
        <v>0.28</v>
      </c>
      <c r="U349" s="2" t="n">
        <v>1.058</v>
      </c>
    </row>
    <row r="350" customFormat="false" ht="15" hidden="false" customHeight="false" outlineLevel="0" collapsed="false">
      <c r="A350" s="2" t="s">
        <v>301</v>
      </c>
      <c r="B350" s="2" t="s">
        <v>50</v>
      </c>
      <c r="C350" s="2" t="s">
        <v>200</v>
      </c>
      <c r="D350" s="2" t="s">
        <v>193</v>
      </c>
      <c r="E350" s="2" t="n">
        <v>30</v>
      </c>
      <c r="F350" s="2" t="s">
        <v>307</v>
      </c>
      <c r="G350" s="2" t="s">
        <v>191</v>
      </c>
      <c r="H350" s="8" t="n">
        <v>19057</v>
      </c>
      <c r="I350" s="8" t="n">
        <v>58595</v>
      </c>
      <c r="J350" s="9" t="n">
        <f aca="false">H350/I350</f>
        <v>0.325232528372728</v>
      </c>
      <c r="K350" s="10" t="n">
        <v>0.152</v>
      </c>
      <c r="L350" s="8" t="n">
        <v>25093</v>
      </c>
      <c r="M350" s="9" t="n">
        <f aca="false">L350/I350</f>
        <v>0.428244730779077</v>
      </c>
      <c r="N350" s="8" t="n">
        <v>24248</v>
      </c>
      <c r="O350" s="2" t="n">
        <v>0.45</v>
      </c>
      <c r="P350" s="2" t="n">
        <v>0.16</v>
      </c>
      <c r="Q350" s="10" t="n">
        <f aca="false">L350/H350-1</f>
        <v>0.316734008500813</v>
      </c>
      <c r="R350" s="10" t="n">
        <f aca="false">ABS(Q350)</f>
        <v>0.316734008500813</v>
      </c>
      <c r="S350" s="2" t="s">
        <v>146</v>
      </c>
      <c r="T350" s="2" t="n">
        <v>0.34</v>
      </c>
      <c r="U350" s="2" t="n">
        <v>1.25</v>
      </c>
    </row>
    <row r="351" customFormat="false" ht="15" hidden="false" customHeight="false" outlineLevel="0" collapsed="false">
      <c r="A351" s="2" t="s">
        <v>301</v>
      </c>
      <c r="B351" s="2" t="s">
        <v>52</v>
      </c>
      <c r="C351" s="2" t="s">
        <v>200</v>
      </c>
      <c r="D351" s="2" t="s">
        <v>193</v>
      </c>
      <c r="E351" s="2" t="n">
        <v>31</v>
      </c>
      <c r="F351" s="2" t="s">
        <v>307</v>
      </c>
      <c r="G351" s="2" t="s">
        <v>191</v>
      </c>
      <c r="H351" s="8" t="n">
        <v>20942</v>
      </c>
      <c r="I351" s="8" t="n">
        <v>62054</v>
      </c>
      <c r="J351" s="9" t="n">
        <f aca="false">H351/I351</f>
        <v>0.337480259129146</v>
      </c>
      <c r="K351" s="10" t="n">
        <v>0.166</v>
      </c>
      <c r="L351" s="8" t="n">
        <v>26012</v>
      </c>
      <c r="M351" s="9" t="n">
        <f aca="false">L351/I351</f>
        <v>0.419183291971509</v>
      </c>
      <c r="N351" s="8" t="n">
        <v>25149</v>
      </c>
      <c r="O351" s="2" t="n">
        <v>0.45</v>
      </c>
      <c r="P351" s="2" t="n">
        <v>0.16</v>
      </c>
      <c r="Q351" s="10" t="n">
        <f aca="false">L351/H351-1</f>
        <v>0.242097220895807</v>
      </c>
      <c r="R351" s="10" t="n">
        <f aca="false">ABS(Q351)</f>
        <v>0.242097220895807</v>
      </c>
      <c r="S351" s="2" t="s">
        <v>146</v>
      </c>
      <c r="T351" s="2" t="n">
        <v>0.38</v>
      </c>
      <c r="U351" s="2" t="n">
        <v>1.25</v>
      </c>
    </row>
    <row r="352" customFormat="false" ht="15" hidden="false" customHeight="false" outlineLevel="0" collapsed="false">
      <c r="A352" s="2" t="s">
        <v>301</v>
      </c>
      <c r="B352" s="2" t="s">
        <v>53</v>
      </c>
      <c r="C352" s="2" t="s">
        <v>200</v>
      </c>
      <c r="D352" s="2" t="s">
        <v>193</v>
      </c>
      <c r="E352" s="2" t="n">
        <v>31</v>
      </c>
      <c r="F352" s="2" t="s">
        <v>307</v>
      </c>
      <c r="G352" s="2" t="s">
        <v>191</v>
      </c>
      <c r="H352" s="8" t="n">
        <v>20405</v>
      </c>
      <c r="I352" s="8" t="n">
        <v>56986</v>
      </c>
      <c r="J352" s="9" t="n">
        <f aca="false">H352/I352</f>
        <v>0.35807040325694</v>
      </c>
      <c r="K352" s="10" t="n">
        <v>0.152</v>
      </c>
      <c r="L352" s="8" t="n">
        <v>24430</v>
      </c>
      <c r="M352" s="9" t="n">
        <f aca="false">L352/I352</f>
        <v>0.428701786403678</v>
      </c>
      <c r="N352" s="8" t="n">
        <v>23575</v>
      </c>
      <c r="O352" s="2" t="n">
        <v>0.45</v>
      </c>
      <c r="P352" s="2" t="n">
        <v>0.16</v>
      </c>
      <c r="Q352" s="10" t="n">
        <f aca="false">L352/H352-1</f>
        <v>0.197255574614065</v>
      </c>
      <c r="R352" s="10" t="n">
        <f aca="false">ABS(Q352)</f>
        <v>0.197255574614065</v>
      </c>
      <c r="S352" s="2" t="s">
        <v>146</v>
      </c>
      <c r="T352" s="2" t="n">
        <v>0.34</v>
      </c>
      <c r="U352" s="2" t="n">
        <v>1.25</v>
      </c>
    </row>
    <row r="353" customFormat="false" ht="15" hidden="false" customHeight="false" outlineLevel="0" collapsed="false">
      <c r="A353" s="2" t="s">
        <v>301</v>
      </c>
      <c r="B353" s="2" t="s">
        <v>54</v>
      </c>
      <c r="C353" s="2" t="s">
        <v>200</v>
      </c>
      <c r="D353" s="2" t="s">
        <v>193</v>
      </c>
      <c r="E353" s="2" t="n">
        <v>30</v>
      </c>
      <c r="F353" s="2" t="s">
        <v>308</v>
      </c>
      <c r="G353" s="2" t="s">
        <v>303</v>
      </c>
      <c r="H353" s="8" t="n">
        <v>19160</v>
      </c>
      <c r="I353" s="8" t="n">
        <v>56614</v>
      </c>
      <c r="J353" s="9" t="n">
        <f aca="false">H353/I353</f>
        <v>0.338432189917688</v>
      </c>
      <c r="K353" s="10" t="n">
        <v>0.143</v>
      </c>
      <c r="L353" s="8" t="n">
        <v>24206</v>
      </c>
      <c r="M353" s="9" t="n">
        <f aca="false">L353/I353</f>
        <v>0.427562087116261</v>
      </c>
      <c r="N353" s="8" t="n">
        <v>20767</v>
      </c>
      <c r="O353" s="2" t="n">
        <v>0.45</v>
      </c>
      <c r="P353" s="2" t="n">
        <v>0.16</v>
      </c>
      <c r="Q353" s="10" t="n">
        <f aca="false">L353/H353-1</f>
        <v>0.263361169102296</v>
      </c>
      <c r="R353" s="10" t="n">
        <f aca="false">ABS(Q353)</f>
        <v>0.263361169102296</v>
      </c>
      <c r="S353" s="2" t="s">
        <v>146</v>
      </c>
      <c r="T353" s="2" t="n">
        <v>0.28</v>
      </c>
      <c r="U353" s="2" t="n">
        <v>1.25</v>
      </c>
    </row>
    <row r="354" customFormat="false" ht="15" hidden="false" customHeight="false" outlineLevel="0" collapsed="false">
      <c r="A354" s="2" t="s">
        <v>301</v>
      </c>
      <c r="B354" s="2" t="s">
        <v>57</v>
      </c>
      <c r="C354" s="2" t="s">
        <v>200</v>
      </c>
      <c r="D354" s="2" t="s">
        <v>193</v>
      </c>
      <c r="E354" s="2" t="n">
        <v>31</v>
      </c>
      <c r="F354" s="2" t="s">
        <v>302</v>
      </c>
      <c r="G354" s="2" t="s">
        <v>303</v>
      </c>
      <c r="H354" s="8" t="n">
        <v>18697</v>
      </c>
      <c r="I354" s="8" t="n">
        <v>54046</v>
      </c>
      <c r="J354" s="9" t="n">
        <f aca="false">H354/I354</f>
        <v>0.345946045960848</v>
      </c>
      <c r="K354" s="10" t="n">
        <v>0.131</v>
      </c>
      <c r="L354" s="8" t="n">
        <v>20976</v>
      </c>
      <c r="M354" s="9" t="n">
        <f aca="false">L354/I354</f>
        <v>0.388113828960515</v>
      </c>
      <c r="N354" s="8" t="n">
        <v>18568</v>
      </c>
      <c r="O354" s="2" t="n">
        <v>0.45</v>
      </c>
      <c r="P354" s="2" t="n">
        <v>0.16</v>
      </c>
      <c r="Q354" s="10" t="n">
        <f aca="false">L354/H354-1</f>
        <v>0.121891212493983</v>
      </c>
      <c r="R354" s="10" t="n">
        <f aca="false">ABS(Q354)</f>
        <v>0.121891212493983</v>
      </c>
      <c r="S354" s="2" t="s">
        <v>43</v>
      </c>
      <c r="T354" s="2" t="n">
        <v>0.3</v>
      </c>
      <c r="U354" s="2" t="n">
        <v>1.028</v>
      </c>
    </row>
    <row r="355" customFormat="false" ht="15" hidden="false" customHeight="false" outlineLevel="0" collapsed="false">
      <c r="A355" s="2" t="s">
        <v>301</v>
      </c>
      <c r="B355" s="2" t="s">
        <v>58</v>
      </c>
      <c r="C355" s="2" t="s">
        <v>200</v>
      </c>
      <c r="D355" s="2" t="s">
        <v>193</v>
      </c>
      <c r="E355" s="2" t="n">
        <v>30</v>
      </c>
      <c r="F355" s="2" t="s">
        <v>309</v>
      </c>
      <c r="G355" s="2" t="s">
        <v>310</v>
      </c>
      <c r="H355" s="8" t="n">
        <v>17560</v>
      </c>
      <c r="I355" s="8" t="n">
        <v>40749</v>
      </c>
      <c r="J355" s="9" t="n">
        <f aca="false">H355/I355</f>
        <v>0.43093082038823</v>
      </c>
      <c r="K355" s="10" t="n">
        <v>0.133</v>
      </c>
      <c r="L355" s="8" t="n">
        <v>17589</v>
      </c>
      <c r="M355" s="9" t="n">
        <f aca="false">L355/I355</f>
        <v>0.431642494294339</v>
      </c>
      <c r="N355" s="8" t="n">
        <v>17399</v>
      </c>
      <c r="O355" s="2" t="n">
        <v>0.45</v>
      </c>
      <c r="P355" s="2" t="n">
        <v>0.16</v>
      </c>
      <c r="Q355" s="10" t="n">
        <f aca="false">L355/H355-1</f>
        <v>0.00165148063781317</v>
      </c>
      <c r="R355" s="10" t="n">
        <f aca="false">ABS(Q355)</f>
        <v>0.00165148063781317</v>
      </c>
      <c r="S355" s="2" t="s">
        <v>43</v>
      </c>
      <c r="T355" s="2" t="n">
        <v>0.31</v>
      </c>
      <c r="U355" s="2" t="n">
        <v>1.021</v>
      </c>
    </row>
    <row r="356" customFormat="false" ht="15" hidden="false" customHeight="false" outlineLevel="0" collapsed="false">
      <c r="A356" s="2" t="s">
        <v>301</v>
      </c>
      <c r="B356" s="2" t="s">
        <v>59</v>
      </c>
      <c r="C356" s="2" t="s">
        <v>200</v>
      </c>
      <c r="D356" s="2" t="s">
        <v>193</v>
      </c>
      <c r="E356" s="2" t="n">
        <v>31</v>
      </c>
      <c r="F356" s="2" t="s">
        <v>302</v>
      </c>
      <c r="G356" s="2" t="s">
        <v>303</v>
      </c>
      <c r="H356" s="8" t="n">
        <v>12620</v>
      </c>
      <c r="I356" s="8" t="n">
        <v>32727</v>
      </c>
      <c r="J356" s="9" t="n">
        <f aca="false">H356/I356</f>
        <v>0.385614324563816</v>
      </c>
      <c r="K356" s="10" t="n">
        <v>0.13</v>
      </c>
      <c r="L356" s="8" t="n">
        <v>13025</v>
      </c>
      <c r="M356" s="9" t="n">
        <f aca="false">L356/I356</f>
        <v>0.397989427689675</v>
      </c>
      <c r="N356" s="8" t="n">
        <v>13052</v>
      </c>
      <c r="O356" s="2" t="n">
        <v>0.45</v>
      </c>
      <c r="P356" s="2" t="n">
        <v>0.16</v>
      </c>
      <c r="Q356" s="10" t="n">
        <f aca="false">L356/H356-1</f>
        <v>0.0320919175911252</v>
      </c>
      <c r="R356" s="10" t="n">
        <f aca="false">ABS(Q356)</f>
        <v>0.0320919175911252</v>
      </c>
      <c r="S356" s="2" t="s">
        <v>43</v>
      </c>
      <c r="T356" s="2" t="n">
        <v>0.22</v>
      </c>
      <c r="U356" s="2" t="n">
        <v>0.993</v>
      </c>
    </row>
    <row r="357" customFormat="false" ht="15" hidden="false" customHeight="false" outlineLevel="0" collapsed="false">
      <c r="A357" s="2" t="s">
        <v>301</v>
      </c>
      <c r="B357" s="2" t="s">
        <v>60</v>
      </c>
      <c r="C357" s="2" t="s">
        <v>200</v>
      </c>
      <c r="D357" s="2" t="s">
        <v>193</v>
      </c>
      <c r="E357" s="2" t="n">
        <v>31</v>
      </c>
      <c r="F357" s="2" t="s">
        <v>302</v>
      </c>
      <c r="G357" s="2" t="s">
        <v>303</v>
      </c>
      <c r="H357" s="8" t="n">
        <v>12484</v>
      </c>
      <c r="I357" s="8" t="n">
        <v>31018</v>
      </c>
      <c r="J357" s="9" t="n">
        <f aca="false">H357/I357</f>
        <v>0.402475981688052</v>
      </c>
      <c r="K357" s="10" t="n">
        <v>0.158</v>
      </c>
      <c r="L357" s="8" t="n">
        <v>12639</v>
      </c>
      <c r="M357" s="9" t="n">
        <f aca="false">L357/I357</f>
        <v>0.407473080147011</v>
      </c>
      <c r="N357" s="8" t="n">
        <v>12706</v>
      </c>
      <c r="O357" s="2" t="n">
        <v>0.45</v>
      </c>
      <c r="P357" s="2" t="n">
        <v>0.16</v>
      </c>
      <c r="Q357" s="10" t="n">
        <f aca="false">L357/H357-1</f>
        <v>0.012415892342198</v>
      </c>
      <c r="R357" s="10" t="n">
        <f aca="false">ABS(Q357)</f>
        <v>0.012415892342198</v>
      </c>
      <c r="S357" s="2" t="s">
        <v>146</v>
      </c>
      <c r="T357" s="2" t="n">
        <v>0.21</v>
      </c>
      <c r="U357" s="2" t="n">
        <v>0.999</v>
      </c>
    </row>
    <row r="358" customFormat="false" ht="15" hidden="false" customHeight="false" outlineLevel="0" collapsed="false">
      <c r="A358" s="2" t="s">
        <v>301</v>
      </c>
      <c r="B358" s="2" t="s">
        <v>61</v>
      </c>
      <c r="C358" s="2" t="s">
        <v>200</v>
      </c>
      <c r="D358" s="2" t="s">
        <v>193</v>
      </c>
      <c r="E358" s="2" t="n">
        <v>28</v>
      </c>
      <c r="F358" s="2" t="s">
        <v>302</v>
      </c>
      <c r="G358" s="2" t="s">
        <v>303</v>
      </c>
      <c r="H358" s="8" t="n">
        <v>12053</v>
      </c>
      <c r="I358" s="8" t="n">
        <v>31073</v>
      </c>
      <c r="J358" s="9" t="n">
        <f aca="false">H358/I358</f>
        <v>0.387893026099829</v>
      </c>
      <c r="K358" s="10" t="n">
        <v>0.152</v>
      </c>
      <c r="L358" s="8" t="n">
        <v>12138</v>
      </c>
      <c r="M358" s="9" t="n">
        <f aca="false">L358/I358</f>
        <v>0.390628519936923</v>
      </c>
      <c r="N358" s="8" t="n">
        <v>12202</v>
      </c>
      <c r="O358" s="2" t="n">
        <v>0.45</v>
      </c>
      <c r="P358" s="2" t="n">
        <v>0.16</v>
      </c>
      <c r="Q358" s="10" t="n">
        <f aca="false">L358/H358-1</f>
        <v>0.00705218617771508</v>
      </c>
      <c r="R358" s="10" t="n">
        <f aca="false">ABS(Q358)</f>
        <v>0.00705218617771508</v>
      </c>
      <c r="S358" s="2" t="s">
        <v>146</v>
      </c>
      <c r="T358" s="2" t="n">
        <v>0.23</v>
      </c>
      <c r="U358" s="2" t="n">
        <v>0.984</v>
      </c>
    </row>
    <row r="359" customFormat="false" ht="15" hidden="false" customHeight="false" outlineLevel="0" collapsed="false">
      <c r="A359" s="2" t="s">
        <v>301</v>
      </c>
      <c r="B359" s="2" t="s">
        <v>62</v>
      </c>
      <c r="C359" s="2" t="s">
        <v>200</v>
      </c>
      <c r="D359" s="2" t="s">
        <v>193</v>
      </c>
      <c r="E359" s="2" t="n">
        <v>31</v>
      </c>
      <c r="F359" s="2" t="s">
        <v>302</v>
      </c>
      <c r="G359" s="2" t="s">
        <v>303</v>
      </c>
      <c r="H359" s="8" t="n">
        <v>13236</v>
      </c>
      <c r="I359" s="8" t="n">
        <v>33907</v>
      </c>
      <c r="J359" s="9" t="n">
        <f aca="false">H359/I359</f>
        <v>0.390361872179786</v>
      </c>
      <c r="K359" s="10" t="n">
        <v>0.136</v>
      </c>
      <c r="L359" s="8" t="n">
        <v>13107</v>
      </c>
      <c r="M359" s="9" t="n">
        <f aca="false">L359/I359</f>
        <v>0.386557348040228</v>
      </c>
      <c r="N359" s="8" t="n">
        <v>13299</v>
      </c>
      <c r="O359" s="2" t="n">
        <v>0.45</v>
      </c>
      <c r="P359" s="2" t="n">
        <v>0.16</v>
      </c>
      <c r="Q359" s="10" t="n">
        <f aca="false">L359/H359-1</f>
        <v>-0.00974614687216679</v>
      </c>
      <c r="R359" s="10" t="n">
        <f aca="false">ABS(Q359)</f>
        <v>0.00974614687216679</v>
      </c>
      <c r="S359" s="2" t="s">
        <v>146</v>
      </c>
      <c r="T359" s="2" t="n">
        <v>0.24</v>
      </c>
      <c r="U359" s="2" t="n">
        <v>1.054</v>
      </c>
    </row>
    <row r="360" customFormat="false" ht="15" hidden="false" customHeight="false" outlineLevel="0" collapsed="false">
      <c r="A360" s="2" t="s">
        <v>301</v>
      </c>
      <c r="B360" s="2" t="s">
        <v>63</v>
      </c>
      <c r="C360" s="2" t="s">
        <v>200</v>
      </c>
      <c r="D360" s="2" t="s">
        <v>193</v>
      </c>
      <c r="E360" s="2" t="n">
        <v>30</v>
      </c>
      <c r="F360" s="2" t="s">
        <v>302</v>
      </c>
      <c r="G360" s="2" t="s">
        <v>303</v>
      </c>
      <c r="H360" s="8" t="n">
        <v>12614</v>
      </c>
      <c r="I360" s="8" t="n">
        <v>33696</v>
      </c>
      <c r="J360" s="9" t="n">
        <f aca="false">H360/I360</f>
        <v>0.37434710351377</v>
      </c>
      <c r="K360" s="10" t="n">
        <v>0.172</v>
      </c>
      <c r="L360" s="8" t="n">
        <v>13089</v>
      </c>
      <c r="M360" s="9" t="n">
        <f aca="false">L360/I360</f>
        <v>0.388443732193732</v>
      </c>
      <c r="N360" s="8" t="n">
        <v>13137</v>
      </c>
      <c r="O360" s="2" t="n">
        <v>0.45</v>
      </c>
      <c r="P360" s="2" t="n">
        <v>0.16</v>
      </c>
      <c r="Q360" s="10" t="n">
        <f aca="false">L360/H360-1</f>
        <v>0.0376565720627873</v>
      </c>
      <c r="R360" s="10" t="n">
        <f aca="false">ABS(Q360)</f>
        <v>0.0376565720627873</v>
      </c>
      <c r="S360" s="2" t="s">
        <v>146</v>
      </c>
      <c r="T360" s="2" t="n">
        <v>0.23</v>
      </c>
      <c r="U360" s="2" t="n">
        <v>0.994</v>
      </c>
    </row>
    <row r="361" customFormat="false" ht="15" hidden="false" customHeight="false" outlineLevel="0" collapsed="false">
      <c r="A361" s="2" t="s">
        <v>301</v>
      </c>
      <c r="B361" s="2" t="s">
        <v>64</v>
      </c>
      <c r="C361" s="2" t="s">
        <v>200</v>
      </c>
      <c r="D361" s="2" t="s">
        <v>193</v>
      </c>
      <c r="E361" s="2" t="n">
        <v>31</v>
      </c>
      <c r="F361" s="2" t="s">
        <v>302</v>
      </c>
      <c r="G361" s="2" t="s">
        <v>303</v>
      </c>
      <c r="H361" s="8" t="n">
        <v>14895</v>
      </c>
      <c r="I361" s="8" t="n">
        <v>45962</v>
      </c>
      <c r="J361" s="9" t="n">
        <f aca="false">H361/I361</f>
        <v>0.324072059527436</v>
      </c>
      <c r="K361" s="10" t="n">
        <v>0.194</v>
      </c>
      <c r="L361" s="8" t="n">
        <v>16628</v>
      </c>
      <c r="M361" s="9" t="n">
        <f aca="false">L361/I361</f>
        <v>0.361777120229755</v>
      </c>
      <c r="N361" s="8" t="n">
        <v>16392</v>
      </c>
      <c r="O361" s="2" t="n">
        <v>0.45</v>
      </c>
      <c r="P361" s="2" t="n">
        <v>0.16</v>
      </c>
      <c r="Q361" s="10" t="n">
        <f aca="false">L361/H361-1</f>
        <v>0.116347767707284</v>
      </c>
      <c r="R361" s="10" t="n">
        <f aca="false">ABS(Q361)</f>
        <v>0.116347767707284</v>
      </c>
      <c r="S361" s="2" t="s">
        <v>146</v>
      </c>
      <c r="T361" s="2" t="n">
        <v>0.3</v>
      </c>
      <c r="U361" s="2" t="n">
        <v>1.042</v>
      </c>
    </row>
    <row r="362" customFormat="false" ht="15" hidden="false" customHeight="false" outlineLevel="0" collapsed="false">
      <c r="A362" s="2" t="s">
        <v>301</v>
      </c>
      <c r="B362" s="2" t="s">
        <v>65</v>
      </c>
      <c r="C362" s="2" t="s">
        <v>200</v>
      </c>
      <c r="D362" s="2" t="s">
        <v>193</v>
      </c>
      <c r="E362" s="2" t="n">
        <v>30</v>
      </c>
      <c r="F362" s="2" t="s">
        <v>302</v>
      </c>
      <c r="G362" s="2" t="s">
        <v>303</v>
      </c>
      <c r="H362" s="8" t="n">
        <v>14272</v>
      </c>
      <c r="I362" s="8" t="n">
        <v>45528</v>
      </c>
      <c r="J362" s="9" t="n">
        <f aca="false">H362/I362</f>
        <v>0.313477420488491</v>
      </c>
      <c r="K362" s="10" t="n">
        <v>0.195</v>
      </c>
      <c r="L362" s="8" t="n">
        <v>16360</v>
      </c>
      <c r="M362" s="9" t="n">
        <f aca="false">L362/I362</f>
        <v>0.359339307678791</v>
      </c>
      <c r="N362" s="8" t="n">
        <v>16147</v>
      </c>
      <c r="O362" s="2" t="n">
        <v>0.45</v>
      </c>
      <c r="P362" s="2" t="n">
        <v>0.16</v>
      </c>
      <c r="Q362" s="10" t="n">
        <f aca="false">L362/H362-1</f>
        <v>0.146300448430493</v>
      </c>
      <c r="R362" s="10" t="n">
        <f aca="false">ABS(Q362)</f>
        <v>0.146300448430493</v>
      </c>
      <c r="S362" s="2" t="s">
        <v>146</v>
      </c>
      <c r="T362" s="2" t="n">
        <v>0.31</v>
      </c>
      <c r="U362" s="2" t="n">
        <v>0.953</v>
      </c>
    </row>
    <row r="363" customFormat="false" ht="15" hidden="false" customHeight="false" outlineLevel="0" collapsed="false">
      <c r="A363" s="2" t="s">
        <v>301</v>
      </c>
      <c r="B363" s="2" t="s">
        <v>66</v>
      </c>
      <c r="C363" s="2" t="s">
        <v>200</v>
      </c>
      <c r="D363" s="2" t="s">
        <v>193</v>
      </c>
      <c r="E363" s="2" t="n">
        <v>31</v>
      </c>
      <c r="F363" s="2" t="s">
        <v>302</v>
      </c>
      <c r="G363" s="2" t="s">
        <v>303</v>
      </c>
      <c r="H363" s="8" t="n">
        <v>17330</v>
      </c>
      <c r="I363" s="8" t="n">
        <v>54549</v>
      </c>
      <c r="J363" s="9" t="n">
        <f aca="false">H363/I363</f>
        <v>0.317696016425599</v>
      </c>
      <c r="K363" s="10" t="n">
        <v>0.171</v>
      </c>
      <c r="L363" s="8" t="n">
        <v>20394</v>
      </c>
      <c r="M363" s="9" t="n">
        <f aca="false">L363/I363</f>
        <v>0.373865698729583</v>
      </c>
      <c r="N363" s="8" t="n">
        <v>18641</v>
      </c>
      <c r="O363" s="2" t="n">
        <v>0.45</v>
      </c>
      <c r="P363" s="2" t="n">
        <v>0.16</v>
      </c>
      <c r="Q363" s="10" t="n">
        <f aca="false">L363/H363-1</f>
        <v>0.176803231390652</v>
      </c>
      <c r="R363" s="10" t="n">
        <f aca="false">ABS(Q363)</f>
        <v>0.176803231390652</v>
      </c>
      <c r="S363" s="2" t="s">
        <v>146</v>
      </c>
      <c r="T363" s="2" t="n">
        <v>0.31</v>
      </c>
      <c r="U363" s="2" t="n">
        <v>0.989</v>
      </c>
    </row>
    <row r="364" customFormat="false" ht="15" hidden="false" customHeight="false" outlineLevel="0" collapsed="false">
      <c r="A364" s="2" t="s">
        <v>301</v>
      </c>
      <c r="B364" s="2" t="s">
        <v>67</v>
      </c>
      <c r="C364" s="2" t="s">
        <v>200</v>
      </c>
      <c r="D364" s="2" t="s">
        <v>193</v>
      </c>
      <c r="E364" s="2" t="n">
        <v>31</v>
      </c>
      <c r="F364" s="2" t="s">
        <v>302</v>
      </c>
      <c r="G364" s="2" t="s">
        <v>303</v>
      </c>
      <c r="H364" s="8" t="n">
        <v>17310</v>
      </c>
      <c r="I364" s="8" t="n">
        <v>54495</v>
      </c>
      <c r="J364" s="9" t="n">
        <f aca="false">H364/I364</f>
        <v>0.317643820533994</v>
      </c>
      <c r="K364" s="10" t="n">
        <v>0.162</v>
      </c>
      <c r="L364" s="8" t="n">
        <v>20275</v>
      </c>
      <c r="M364" s="9" t="n">
        <f aca="false">L364/I364</f>
        <v>0.372052481879072</v>
      </c>
      <c r="N364" s="8" t="n">
        <v>18484</v>
      </c>
      <c r="O364" s="2" t="n">
        <v>0.45</v>
      </c>
      <c r="P364" s="2" t="n">
        <v>0.16</v>
      </c>
      <c r="Q364" s="10" t="n">
        <f aca="false">L364/H364-1</f>
        <v>0.171288272674754</v>
      </c>
      <c r="R364" s="10" t="n">
        <f aca="false">ABS(Q364)</f>
        <v>0.171288272674754</v>
      </c>
      <c r="S364" s="2" t="s">
        <v>146</v>
      </c>
      <c r="T364" s="2" t="n">
        <v>0.32</v>
      </c>
      <c r="U364" s="2" t="n">
        <v>0.995</v>
      </c>
    </row>
    <row r="365" customFormat="false" ht="15" hidden="false" customHeight="false" outlineLevel="0" collapsed="false">
      <c r="A365" s="2" t="s">
        <v>301</v>
      </c>
      <c r="B365" s="2" t="s">
        <v>68</v>
      </c>
      <c r="C365" s="2" t="s">
        <v>200</v>
      </c>
      <c r="D365" s="2" t="s">
        <v>193</v>
      </c>
      <c r="E365" s="2" t="n">
        <v>30</v>
      </c>
      <c r="F365" s="2" t="s">
        <v>302</v>
      </c>
      <c r="G365" s="2" t="s">
        <v>303</v>
      </c>
      <c r="H365" s="8" t="n">
        <v>18532</v>
      </c>
      <c r="I365" s="8" t="n">
        <v>56164</v>
      </c>
      <c r="J365" s="9" t="n">
        <f aca="false">H365/I365</f>
        <v>0.329962253400755</v>
      </c>
      <c r="K365" s="10" t="n">
        <v>0.143</v>
      </c>
      <c r="L365" s="8" t="n">
        <v>23245</v>
      </c>
      <c r="M365" s="9" t="n">
        <f aca="false">L365/I365</f>
        <v>0.413877216722456</v>
      </c>
      <c r="N365" s="8" t="n">
        <v>18973</v>
      </c>
      <c r="O365" s="2" t="n">
        <v>0.45</v>
      </c>
      <c r="P365" s="2" t="n">
        <v>0.16</v>
      </c>
      <c r="Q365" s="10" t="n">
        <f aca="false">L365/H365-1</f>
        <v>0.254316857327865</v>
      </c>
      <c r="R365" s="10" t="n">
        <f aca="false">ABS(Q365)</f>
        <v>0.254316857327865</v>
      </c>
      <c r="S365" s="2" t="s">
        <v>146</v>
      </c>
      <c r="T365" s="2" t="n">
        <v>0.26</v>
      </c>
      <c r="U365" s="2" t="n">
        <v>1.022</v>
      </c>
    </row>
    <row r="366" customFormat="false" ht="15" hidden="false" customHeight="false" outlineLevel="0" collapsed="false">
      <c r="A366" s="2" t="s">
        <v>311</v>
      </c>
      <c r="B366" s="2" t="s">
        <v>66</v>
      </c>
      <c r="C366" s="2" t="s">
        <v>200</v>
      </c>
      <c r="D366" s="2" t="s">
        <v>40</v>
      </c>
      <c r="E366" s="2" t="n">
        <v>31</v>
      </c>
      <c r="F366" s="2" t="s">
        <v>233</v>
      </c>
      <c r="G366" s="2" t="s">
        <v>312</v>
      </c>
      <c r="H366" s="8" t="n">
        <v>58859</v>
      </c>
      <c r="I366" s="8" t="n">
        <v>200875</v>
      </c>
      <c r="J366" s="9" t="n">
        <f aca="false">H366/I366</f>
        <v>0.293013067828251</v>
      </c>
      <c r="K366" s="10" t="n">
        <v>0.066</v>
      </c>
      <c r="L366" s="8" t="n">
        <v>62382</v>
      </c>
      <c r="M366" s="9" t="n">
        <f aca="false">L366/I366</f>
        <v>0.310551337896702</v>
      </c>
      <c r="N366" s="8" t="n">
        <v>61616</v>
      </c>
      <c r="O366" s="2" t="n">
        <v>0.68</v>
      </c>
      <c r="P366" s="2" t="n">
        <v>0.42</v>
      </c>
      <c r="Q366" s="10" t="n">
        <f aca="false">L366/H366-1</f>
        <v>0.059854907490783</v>
      </c>
      <c r="R366" s="10" t="n">
        <f aca="false">ABS(Q366)</f>
        <v>0.059854907490783</v>
      </c>
      <c r="S366" s="2" t="s">
        <v>43</v>
      </c>
      <c r="T366" s="2" t="n">
        <v>0.43</v>
      </c>
      <c r="U366" s="2" t="n">
        <v>1.022</v>
      </c>
    </row>
    <row r="367" customFormat="false" ht="15" hidden="false" customHeight="false" outlineLevel="0" collapsed="false">
      <c r="A367" s="2" t="s">
        <v>311</v>
      </c>
      <c r="B367" s="2" t="s">
        <v>67</v>
      </c>
      <c r="C367" s="2" t="s">
        <v>200</v>
      </c>
      <c r="D367" s="2" t="s">
        <v>40</v>
      </c>
      <c r="E367" s="2" t="n">
        <v>31</v>
      </c>
      <c r="F367" s="2" t="s">
        <v>235</v>
      </c>
      <c r="G367" s="2" t="s">
        <v>312</v>
      </c>
      <c r="H367" s="8" t="n">
        <v>52062</v>
      </c>
      <c r="I367" s="8" t="n">
        <v>173224</v>
      </c>
      <c r="J367" s="9" t="n">
        <f aca="false">H367/I367</f>
        <v>0.300547268276913</v>
      </c>
      <c r="K367" s="10" t="n">
        <v>0.222</v>
      </c>
      <c r="L367" s="8" t="n">
        <v>52835</v>
      </c>
      <c r="M367" s="9" t="n">
        <f aca="false">L367/I367</f>
        <v>0.30500969842516</v>
      </c>
      <c r="N367" s="8" t="n">
        <v>53020</v>
      </c>
      <c r="O367" s="2" t="n">
        <v>0.68</v>
      </c>
      <c r="P367" s="2" t="n">
        <v>0.42</v>
      </c>
      <c r="Q367" s="10" t="n">
        <f aca="false">L367/H367-1</f>
        <v>0.0148476816103875</v>
      </c>
      <c r="R367" s="10" t="n">
        <f aca="false">ABS(Q367)</f>
        <v>0.0148476816103875</v>
      </c>
      <c r="S367" s="2" t="s">
        <v>43</v>
      </c>
      <c r="T367" s="2" t="n">
        <v>0.48</v>
      </c>
      <c r="U367" s="2" t="n">
        <v>1.011</v>
      </c>
    </row>
    <row r="368" customFormat="false" ht="15" hidden="false" customHeight="false" outlineLevel="0" collapsed="false">
      <c r="A368" s="2" t="s">
        <v>311</v>
      </c>
      <c r="B368" s="2" t="s">
        <v>68</v>
      </c>
      <c r="C368" s="2" t="s">
        <v>200</v>
      </c>
      <c r="D368" s="2" t="s">
        <v>40</v>
      </c>
      <c r="E368" s="2" t="n">
        <v>30</v>
      </c>
      <c r="F368" s="2" t="s">
        <v>235</v>
      </c>
      <c r="G368" s="2" t="s">
        <v>312</v>
      </c>
      <c r="H368" s="8" t="n">
        <v>86620</v>
      </c>
      <c r="I368" s="8" t="n">
        <v>294314</v>
      </c>
      <c r="J368" s="9" t="n">
        <f aca="false">H368/I368</f>
        <v>0.29431151763083</v>
      </c>
      <c r="K368" s="10" t="n">
        <v>0.127</v>
      </c>
      <c r="L368" s="8" t="n">
        <v>89377</v>
      </c>
      <c r="M368" s="9" t="n">
        <f aca="false">L368/I368</f>
        <v>0.303679063856969</v>
      </c>
      <c r="N368" s="8" t="n">
        <v>89117</v>
      </c>
      <c r="O368" s="2" t="n">
        <v>0.68</v>
      </c>
      <c r="P368" s="2" t="n">
        <v>0.42</v>
      </c>
      <c r="Q368" s="10" t="n">
        <f aca="false">L368/H368-1</f>
        <v>0.0318286769799123</v>
      </c>
      <c r="R368" s="10" t="n">
        <f aca="false">ABS(Q368)</f>
        <v>0.0318286769799123</v>
      </c>
      <c r="S368" s="2" t="s">
        <v>43</v>
      </c>
      <c r="T368" s="2" t="n">
        <v>0.51</v>
      </c>
      <c r="U368" s="2" t="n">
        <v>1.008</v>
      </c>
    </row>
    <row r="369" customFormat="false" ht="15" hidden="false" customHeight="false" outlineLevel="0" collapsed="false">
      <c r="A369" s="2" t="s">
        <v>313</v>
      </c>
      <c r="B369" s="2" t="s">
        <v>48</v>
      </c>
      <c r="C369" s="2" t="s">
        <v>200</v>
      </c>
      <c r="D369" s="2" t="s">
        <v>193</v>
      </c>
      <c r="E369" s="2" t="n">
        <v>29</v>
      </c>
      <c r="F369" s="2" t="s">
        <v>314</v>
      </c>
      <c r="G369" s="2" t="s">
        <v>315</v>
      </c>
      <c r="H369" s="8" t="n">
        <v>5596</v>
      </c>
      <c r="I369" s="8" t="n">
        <v>17762</v>
      </c>
      <c r="J369" s="9" t="n">
        <f aca="false">H369/I369</f>
        <v>0.315054610967233</v>
      </c>
      <c r="K369" s="10" t="n">
        <v>0.162</v>
      </c>
      <c r="L369" s="8" t="n">
        <v>6109</v>
      </c>
      <c r="M369" s="9" t="n">
        <f aca="false">L369/I369</f>
        <v>0.343936493638104</v>
      </c>
      <c r="N369" s="8" t="n">
        <v>6071</v>
      </c>
      <c r="O369" s="2" t="n">
        <v>0.5</v>
      </c>
      <c r="P369" s="2" t="n">
        <v>0.3</v>
      </c>
      <c r="Q369" s="10" t="n">
        <f aca="false">L369/H369-1</f>
        <v>0.0916726233023588</v>
      </c>
      <c r="R369" s="10" t="n">
        <f aca="false">ABS(Q369)</f>
        <v>0.0916726233023588</v>
      </c>
      <c r="S369" s="2" t="s">
        <v>316</v>
      </c>
      <c r="T369" s="2" t="n">
        <v>0.31</v>
      </c>
      <c r="U369" s="2" t="n">
        <v>1.096</v>
      </c>
    </row>
    <row r="370" customFormat="false" ht="15" hidden="false" customHeight="false" outlineLevel="0" collapsed="false">
      <c r="A370" s="2" t="s">
        <v>313</v>
      </c>
      <c r="B370" s="2" t="s">
        <v>76</v>
      </c>
      <c r="C370" s="2" t="s">
        <v>200</v>
      </c>
      <c r="D370" s="2" t="s">
        <v>193</v>
      </c>
      <c r="E370" s="2" t="n">
        <v>30</v>
      </c>
      <c r="F370" s="2" t="s">
        <v>314</v>
      </c>
      <c r="G370" s="2" t="s">
        <v>315</v>
      </c>
      <c r="H370" s="8" t="n">
        <v>7714</v>
      </c>
      <c r="I370" s="8" t="n">
        <v>24825</v>
      </c>
      <c r="J370" s="9" t="n">
        <f aca="false">H370/I370</f>
        <v>0.310735146022155</v>
      </c>
      <c r="K370" s="10" t="n">
        <v>0.156</v>
      </c>
      <c r="L370" s="8" t="n">
        <v>7985</v>
      </c>
      <c r="M370" s="9" t="n">
        <f aca="false">L370/I370</f>
        <v>0.321651560926485</v>
      </c>
      <c r="N370" s="8" t="n">
        <v>7966</v>
      </c>
      <c r="O370" s="2" t="n">
        <v>0.5</v>
      </c>
      <c r="P370" s="2" t="n">
        <v>0.3</v>
      </c>
      <c r="Q370" s="10" t="n">
        <f aca="false">L370/H370-1</f>
        <v>0.0351309307752139</v>
      </c>
      <c r="R370" s="10" t="n">
        <f aca="false">ABS(Q370)</f>
        <v>0.0351309307752139</v>
      </c>
      <c r="S370" s="2" t="s">
        <v>316</v>
      </c>
      <c r="T370" s="2" t="n">
        <v>0.4</v>
      </c>
      <c r="U370" s="2" t="n">
        <v>1.113</v>
      </c>
    </row>
    <row r="371" customFormat="false" ht="15" hidden="false" customHeight="false" outlineLevel="0" collapsed="false">
      <c r="A371" s="2" t="s">
        <v>313</v>
      </c>
      <c r="B371" s="2" t="s">
        <v>50</v>
      </c>
      <c r="C371" s="2" t="s">
        <v>200</v>
      </c>
      <c r="D371" s="2" t="s">
        <v>193</v>
      </c>
      <c r="E371" s="2" t="n">
        <v>26</v>
      </c>
      <c r="F371" s="2" t="s">
        <v>314</v>
      </c>
      <c r="G371" s="2" t="s">
        <v>315</v>
      </c>
      <c r="H371" s="8" t="n">
        <v>6365</v>
      </c>
      <c r="I371" s="8" t="n">
        <v>19830</v>
      </c>
      <c r="J371" s="9" t="n">
        <f aca="false">H371/I371</f>
        <v>0.320978315683308</v>
      </c>
      <c r="K371" s="10" t="n">
        <v>0.159</v>
      </c>
      <c r="L371" s="8" t="n">
        <v>6378</v>
      </c>
      <c r="M371" s="9" t="n">
        <f aca="false">L371/I371</f>
        <v>0.321633888048412</v>
      </c>
      <c r="N371" s="8" t="n">
        <v>6378</v>
      </c>
      <c r="O371" s="2" t="n">
        <v>0.5</v>
      </c>
      <c r="P371" s="2" t="n">
        <v>0.3</v>
      </c>
      <c r="Q371" s="10" t="n">
        <f aca="false">L371/H371-1</f>
        <v>0.0020424194815396</v>
      </c>
      <c r="R371" s="10" t="n">
        <f aca="false">ABS(Q371)</f>
        <v>0.0020424194815396</v>
      </c>
      <c r="S371" s="2" t="s">
        <v>316</v>
      </c>
      <c r="T371" s="2" t="n">
        <v>0.4</v>
      </c>
      <c r="U371" s="2" t="n">
        <v>1.069</v>
      </c>
    </row>
    <row r="372" customFormat="false" ht="15" hidden="false" customHeight="false" outlineLevel="0" collapsed="false">
      <c r="A372" s="2" t="s">
        <v>313</v>
      </c>
      <c r="B372" s="2" t="s">
        <v>52</v>
      </c>
      <c r="C372" s="2" t="s">
        <v>200</v>
      </c>
      <c r="D372" s="2" t="s">
        <v>193</v>
      </c>
      <c r="E372" s="2" t="n">
        <v>30</v>
      </c>
      <c r="F372" s="2" t="s">
        <v>314</v>
      </c>
      <c r="G372" s="2" t="s">
        <v>315</v>
      </c>
      <c r="H372" s="8" t="n">
        <v>8918</v>
      </c>
      <c r="I372" s="8" t="n">
        <v>28214</v>
      </c>
      <c r="J372" s="9" t="n">
        <f aca="false">H372/I372</f>
        <v>0.316084213511023</v>
      </c>
      <c r="K372" s="10" t="n">
        <v>0.118</v>
      </c>
      <c r="L372" s="8" t="n">
        <v>8749</v>
      </c>
      <c r="M372" s="9" t="n">
        <f aca="false">L372/I372</f>
        <v>0.310094279435741</v>
      </c>
      <c r="N372" s="8" t="n">
        <v>8741</v>
      </c>
      <c r="O372" s="2" t="n">
        <v>0.5</v>
      </c>
      <c r="P372" s="2" t="n">
        <v>0.3</v>
      </c>
      <c r="Q372" s="10" t="n">
        <f aca="false">L372/H372-1</f>
        <v>-0.0189504373177842</v>
      </c>
      <c r="R372" s="10" t="n">
        <f aca="false">ABS(Q372)</f>
        <v>0.0189504373177842</v>
      </c>
      <c r="S372" s="2" t="s">
        <v>316</v>
      </c>
      <c r="T372" s="2" t="n">
        <v>0.48</v>
      </c>
      <c r="U372" s="2" t="n">
        <v>1.073</v>
      </c>
    </row>
    <row r="373" customFormat="false" ht="15" hidden="false" customHeight="false" outlineLevel="0" collapsed="false">
      <c r="A373" s="2" t="s">
        <v>313</v>
      </c>
      <c r="B373" s="2" t="s">
        <v>54</v>
      </c>
      <c r="C373" s="2" t="s">
        <v>200</v>
      </c>
      <c r="D373" s="2" t="s">
        <v>193</v>
      </c>
      <c r="E373" s="2" t="n">
        <v>30</v>
      </c>
      <c r="F373" s="2" t="s">
        <v>314</v>
      </c>
      <c r="G373" s="2" t="s">
        <v>315</v>
      </c>
      <c r="H373" s="8" t="n">
        <v>8705</v>
      </c>
      <c r="I373" s="8" t="n">
        <v>27064</v>
      </c>
      <c r="J373" s="9" t="n">
        <f aca="false">H373/I373</f>
        <v>0.321644989654153</v>
      </c>
      <c r="K373" s="10" t="n">
        <v>0.113</v>
      </c>
      <c r="L373" s="8" t="n">
        <v>8539</v>
      </c>
      <c r="M373" s="9" t="n">
        <f aca="false">L373/I373</f>
        <v>0.31551138043157</v>
      </c>
      <c r="N373" s="8" t="n">
        <v>8537</v>
      </c>
      <c r="O373" s="2" t="n">
        <v>0.5</v>
      </c>
      <c r="P373" s="2" t="n">
        <v>0.3</v>
      </c>
      <c r="Q373" s="10" t="n">
        <f aca="false">L373/H373-1</f>
        <v>-0.0190695002871912</v>
      </c>
      <c r="R373" s="10" t="n">
        <f aca="false">ABS(Q373)</f>
        <v>0.0190695002871912</v>
      </c>
      <c r="S373" s="2" t="s">
        <v>316</v>
      </c>
      <c r="T373" s="2" t="n">
        <v>0.43</v>
      </c>
      <c r="U373" s="2" t="n">
        <v>1.038</v>
      </c>
    </row>
    <row r="374" customFormat="false" ht="15" hidden="false" customHeight="false" outlineLevel="0" collapsed="false">
      <c r="A374" s="2" t="s">
        <v>313</v>
      </c>
      <c r="B374" s="2" t="s">
        <v>57</v>
      </c>
      <c r="C374" s="2" t="s">
        <v>200</v>
      </c>
      <c r="D374" s="2" t="s">
        <v>193</v>
      </c>
      <c r="E374" s="2" t="n">
        <v>31</v>
      </c>
      <c r="F374" s="2" t="s">
        <v>314</v>
      </c>
      <c r="G374" s="2" t="s">
        <v>315</v>
      </c>
      <c r="H374" s="8" t="n">
        <v>8013</v>
      </c>
      <c r="I374" s="8" t="n">
        <v>21975</v>
      </c>
      <c r="J374" s="9" t="n">
        <f aca="false">H374/I374</f>
        <v>0.364641638225256</v>
      </c>
      <c r="K374" s="10" t="n">
        <v>0.11</v>
      </c>
      <c r="L374" s="8" t="n">
        <v>7231</v>
      </c>
      <c r="M374" s="9" t="n">
        <f aca="false">L374/I374</f>
        <v>0.32905574516496</v>
      </c>
      <c r="N374" s="8" t="n">
        <v>7228</v>
      </c>
      <c r="O374" s="2" t="n">
        <v>0.5</v>
      </c>
      <c r="P374" s="2" t="n">
        <v>0.3</v>
      </c>
      <c r="Q374" s="10" t="n">
        <f aca="false">L374/H374-1</f>
        <v>-0.0975914139523275</v>
      </c>
      <c r="R374" s="10" t="n">
        <f aca="false">ABS(Q374)</f>
        <v>0.0975914139523275</v>
      </c>
      <c r="S374" s="2" t="s">
        <v>316</v>
      </c>
      <c r="T374" s="2" t="n">
        <v>0.36</v>
      </c>
      <c r="U374" s="2" t="n">
        <v>1.067</v>
      </c>
    </row>
    <row r="375" customFormat="false" ht="15" hidden="false" customHeight="false" outlineLevel="0" collapsed="false">
      <c r="A375" s="2" t="s">
        <v>313</v>
      </c>
      <c r="B375" s="2" t="s">
        <v>59</v>
      </c>
      <c r="C375" s="2" t="s">
        <v>200</v>
      </c>
      <c r="D375" s="2" t="s">
        <v>193</v>
      </c>
      <c r="E375" s="2" t="n">
        <v>30</v>
      </c>
      <c r="F375" s="2" t="s">
        <v>314</v>
      </c>
      <c r="G375" s="2" t="s">
        <v>315</v>
      </c>
      <c r="H375" s="8" t="n">
        <v>5524</v>
      </c>
      <c r="I375" s="8" t="n">
        <v>12607</v>
      </c>
      <c r="J375" s="9" t="n">
        <f aca="false">H375/I375</f>
        <v>0.438169271039898</v>
      </c>
      <c r="K375" s="10" t="n">
        <v>0.069</v>
      </c>
      <c r="L375" s="8" t="n">
        <v>5135</v>
      </c>
      <c r="M375" s="9" t="n">
        <f aca="false">L375/I375</f>
        <v>0.40731339731895</v>
      </c>
      <c r="N375" s="8" t="n">
        <v>5143</v>
      </c>
      <c r="O375" s="2" t="n">
        <v>0.5</v>
      </c>
      <c r="P375" s="2" t="n">
        <v>0.3</v>
      </c>
      <c r="Q375" s="10" t="n">
        <f aca="false">L375/H375-1</f>
        <v>-0.0704199855177408</v>
      </c>
      <c r="R375" s="10" t="n">
        <f aca="false">ABS(Q375)</f>
        <v>0.0704199855177408</v>
      </c>
      <c r="S375" s="2" t="s">
        <v>316</v>
      </c>
      <c r="T375" s="2" t="n">
        <v>0.2</v>
      </c>
      <c r="U375" s="2" t="n">
        <v>1</v>
      </c>
    </row>
    <row r="376" customFormat="false" ht="15" hidden="false" customHeight="false" outlineLevel="0" collapsed="false">
      <c r="A376" s="2" t="s">
        <v>313</v>
      </c>
      <c r="B376" s="2" t="s">
        <v>60</v>
      </c>
      <c r="C376" s="2" t="s">
        <v>200</v>
      </c>
      <c r="D376" s="2" t="s">
        <v>193</v>
      </c>
      <c r="E376" s="2" t="n">
        <v>30</v>
      </c>
      <c r="F376" s="2" t="s">
        <v>314</v>
      </c>
      <c r="G376" s="2" t="s">
        <v>315</v>
      </c>
      <c r="H376" s="8" t="n">
        <v>4810</v>
      </c>
      <c r="I376" s="8" t="n">
        <v>10122</v>
      </c>
      <c r="J376" s="9" t="n">
        <f aca="false">H376/I376</f>
        <v>0.475202529144438</v>
      </c>
      <c r="K376" s="10" t="n">
        <v>0.059</v>
      </c>
      <c r="L376" s="8" t="n">
        <v>4697</v>
      </c>
      <c r="M376" s="9" t="n">
        <f aca="false">L376/I376</f>
        <v>0.464038727524205</v>
      </c>
      <c r="N376" s="8" t="n">
        <v>4709</v>
      </c>
      <c r="O376" s="2" t="n">
        <v>0.5</v>
      </c>
      <c r="P376" s="2" t="n">
        <v>0.3</v>
      </c>
      <c r="Q376" s="10" t="n">
        <f aca="false">L376/H376-1</f>
        <v>-0.0234927234927235</v>
      </c>
      <c r="R376" s="10" t="n">
        <f aca="false">ABS(Q376)</f>
        <v>0.0234927234927235</v>
      </c>
      <c r="S376" s="2" t="s">
        <v>316</v>
      </c>
      <c r="T376" s="2" t="n">
        <v>0.15</v>
      </c>
      <c r="U376" s="2" t="n">
        <v>1.048</v>
      </c>
    </row>
    <row r="377" customFormat="false" ht="15" hidden="false" customHeight="false" outlineLevel="0" collapsed="false">
      <c r="A377" s="2" t="s">
        <v>317</v>
      </c>
      <c r="B377" s="2" t="s">
        <v>38</v>
      </c>
      <c r="C377" s="2" t="s">
        <v>200</v>
      </c>
      <c r="D377" s="2" t="s">
        <v>193</v>
      </c>
      <c r="E377" s="2" t="n">
        <v>31</v>
      </c>
      <c r="F377" s="2" t="s">
        <v>318</v>
      </c>
      <c r="G377" s="2" t="s">
        <v>319</v>
      </c>
      <c r="H377" s="8" t="n">
        <v>26608</v>
      </c>
      <c r="I377" s="8" t="n">
        <v>80742</v>
      </c>
      <c r="J377" s="9" t="n">
        <f aca="false">H377/I377</f>
        <v>0.329543484184192</v>
      </c>
      <c r="K377" s="10" t="n">
        <v>0.107</v>
      </c>
      <c r="L377" s="8" t="n">
        <v>29895</v>
      </c>
      <c r="M377" s="9" t="n">
        <f aca="false">L377/I377</f>
        <v>0.370253399717619</v>
      </c>
      <c r="N377" s="8" t="n">
        <v>28520</v>
      </c>
      <c r="O377" s="2" t="n">
        <v>0.65</v>
      </c>
      <c r="P377" s="2" t="n">
        <v>0.36</v>
      </c>
      <c r="Q377" s="10" t="n">
        <f aca="false">L377/H377-1</f>
        <v>0.123534275405893</v>
      </c>
      <c r="R377" s="10" t="n">
        <f aca="false">ABS(Q377)</f>
        <v>0.123534275405893</v>
      </c>
      <c r="S377" s="2" t="s">
        <v>146</v>
      </c>
      <c r="T377" s="2" t="n">
        <v>0.29</v>
      </c>
      <c r="U377" s="2" t="n">
        <v>1.092</v>
      </c>
    </row>
    <row r="378" customFormat="false" ht="15" hidden="false" customHeight="false" outlineLevel="0" collapsed="false">
      <c r="A378" s="2" t="s">
        <v>317</v>
      </c>
      <c r="B378" s="2" t="s">
        <v>44</v>
      </c>
      <c r="C378" s="2" t="s">
        <v>200</v>
      </c>
      <c r="D378" s="2" t="s">
        <v>193</v>
      </c>
      <c r="E378" s="2" t="n">
        <v>28</v>
      </c>
      <c r="F378" s="2" t="s">
        <v>318</v>
      </c>
      <c r="G378" s="2" t="s">
        <v>319</v>
      </c>
      <c r="H378" s="8" t="n">
        <v>24915</v>
      </c>
      <c r="I378" s="8" t="n">
        <v>77728</v>
      </c>
      <c r="J378" s="9" t="n">
        <f aca="false">H378/I378</f>
        <v>0.320540860436394</v>
      </c>
      <c r="K378" s="10" t="n">
        <v>0.097</v>
      </c>
      <c r="L378" s="8" t="n">
        <v>25302</v>
      </c>
      <c r="M378" s="9" t="n">
        <f aca="false">L378/I378</f>
        <v>0.325519761218609</v>
      </c>
      <c r="N378" s="8" t="n">
        <v>25020</v>
      </c>
      <c r="O378" s="2" t="n">
        <v>0.65</v>
      </c>
      <c r="P378" s="2" t="n">
        <v>0.36</v>
      </c>
      <c r="Q378" s="10" t="n">
        <f aca="false">L378/H378-1</f>
        <v>0.0155328115593016</v>
      </c>
      <c r="R378" s="10" t="n">
        <f aca="false">ABS(Q378)</f>
        <v>0.0155328115593016</v>
      </c>
      <c r="S378" s="2" t="s">
        <v>146</v>
      </c>
      <c r="T378" s="2" t="n">
        <v>0.35</v>
      </c>
      <c r="U378" s="2" t="n">
        <v>1.223</v>
      </c>
    </row>
    <row r="379" customFormat="false" ht="15" hidden="false" customHeight="false" outlineLevel="0" collapsed="false">
      <c r="A379" s="2" t="s">
        <v>317</v>
      </c>
      <c r="B379" s="2" t="s">
        <v>46</v>
      </c>
      <c r="C379" s="2" t="s">
        <v>200</v>
      </c>
      <c r="D379" s="2" t="s">
        <v>193</v>
      </c>
      <c r="E379" s="2" t="n">
        <v>31</v>
      </c>
      <c r="F379" s="2" t="s">
        <v>318</v>
      </c>
      <c r="G379" s="2" t="s">
        <v>319</v>
      </c>
      <c r="H379" s="8" t="n">
        <v>21997</v>
      </c>
      <c r="I379" s="8" t="n">
        <v>58585</v>
      </c>
      <c r="J379" s="9" t="n">
        <f aca="false">H379/I379</f>
        <v>0.375471537082871</v>
      </c>
      <c r="K379" s="10" t="n">
        <v>0.16</v>
      </c>
      <c r="L379" s="8" t="n">
        <v>24758</v>
      </c>
      <c r="M379" s="9" t="n">
        <f aca="false">L379/I379</f>
        <v>0.422599641546471</v>
      </c>
      <c r="N379" s="8" t="n">
        <v>22273</v>
      </c>
      <c r="O379" s="2" t="n">
        <v>0.65</v>
      </c>
      <c r="P379" s="2" t="n">
        <v>0.36</v>
      </c>
      <c r="Q379" s="10" t="n">
        <f aca="false">L379/H379-1</f>
        <v>0.12551711597036</v>
      </c>
      <c r="R379" s="10" t="n">
        <f aca="false">ABS(Q379)</f>
        <v>0.12551711597036</v>
      </c>
      <c r="S379" s="2" t="s">
        <v>146</v>
      </c>
      <c r="T379" s="2" t="n">
        <v>0.24</v>
      </c>
      <c r="U379" s="2" t="n">
        <v>1.25</v>
      </c>
    </row>
    <row r="380" customFormat="false" ht="15" hidden="false" customHeight="false" outlineLevel="0" collapsed="false">
      <c r="A380" s="2" t="s">
        <v>317</v>
      </c>
      <c r="B380" s="2" t="s">
        <v>48</v>
      </c>
      <c r="C380" s="2" t="s">
        <v>200</v>
      </c>
      <c r="D380" s="2" t="s">
        <v>193</v>
      </c>
      <c r="E380" s="2" t="n">
        <v>30</v>
      </c>
      <c r="F380" s="2" t="s">
        <v>318</v>
      </c>
      <c r="G380" s="2" t="s">
        <v>319</v>
      </c>
      <c r="H380" s="8" t="n">
        <v>27037</v>
      </c>
      <c r="I380" s="8" t="n">
        <v>82249</v>
      </c>
      <c r="J380" s="9" t="n">
        <f aca="false">H380/I380</f>
        <v>0.328721321839779</v>
      </c>
      <c r="K380" s="10" t="n">
        <v>0.16</v>
      </c>
      <c r="L380" s="8" t="n">
        <v>30344</v>
      </c>
      <c r="M380" s="9" t="n">
        <f aca="false">L380/I380</f>
        <v>0.368928497610913</v>
      </c>
      <c r="N380" s="8" t="n">
        <v>29681</v>
      </c>
      <c r="O380" s="2" t="n">
        <v>0.65</v>
      </c>
      <c r="P380" s="2" t="n">
        <v>0.35</v>
      </c>
      <c r="Q380" s="10" t="n">
        <f aca="false">L380/H380-1</f>
        <v>0.122313866183378</v>
      </c>
      <c r="R380" s="10" t="n">
        <f aca="false">ABS(Q380)</f>
        <v>0.122313866183378</v>
      </c>
      <c r="S380" s="2" t="s">
        <v>43</v>
      </c>
      <c r="T380" s="2" t="n">
        <v>0.29</v>
      </c>
      <c r="U380" s="2" t="n">
        <v>1.051</v>
      </c>
    </row>
    <row r="381" customFormat="false" ht="15" hidden="false" customHeight="false" outlineLevel="0" collapsed="false">
      <c r="A381" s="2" t="s">
        <v>317</v>
      </c>
      <c r="B381" s="2" t="s">
        <v>76</v>
      </c>
      <c r="C381" s="2" t="s">
        <v>200</v>
      </c>
      <c r="D381" s="2" t="s">
        <v>193</v>
      </c>
      <c r="E381" s="2" t="n">
        <v>31</v>
      </c>
      <c r="F381" s="2" t="s">
        <v>320</v>
      </c>
      <c r="G381" s="2" t="s">
        <v>321</v>
      </c>
      <c r="H381" s="8" t="n">
        <v>38579</v>
      </c>
      <c r="I381" s="8" t="n">
        <v>124282</v>
      </c>
      <c r="J381" s="9" t="n">
        <f aca="false">H381/I381</f>
        <v>0.310415023897266</v>
      </c>
      <c r="K381" s="10" t="n">
        <v>0.142</v>
      </c>
      <c r="L381" s="8" t="n">
        <v>37584</v>
      </c>
      <c r="M381" s="9" t="n">
        <f aca="false">L381/I381</f>
        <v>0.302409037511466</v>
      </c>
      <c r="N381" s="8" t="n">
        <v>38168</v>
      </c>
      <c r="O381" s="2" t="n">
        <v>0.65</v>
      </c>
      <c r="P381" s="2" t="n">
        <v>0.35</v>
      </c>
      <c r="Q381" s="10" t="n">
        <f aca="false">L381/H381-1</f>
        <v>-0.0257912335726691</v>
      </c>
      <c r="R381" s="10" t="n">
        <f aca="false">ABS(Q381)</f>
        <v>0.0257912335726691</v>
      </c>
      <c r="S381" s="2" t="s">
        <v>43</v>
      </c>
      <c r="T381" s="2" t="n">
        <v>0.41</v>
      </c>
      <c r="U381" s="2" t="n">
        <v>1.023</v>
      </c>
    </row>
    <row r="382" customFormat="false" ht="15" hidden="false" customHeight="false" outlineLevel="0" collapsed="false">
      <c r="A382" s="2" t="s">
        <v>317</v>
      </c>
      <c r="B382" s="2" t="s">
        <v>52</v>
      </c>
      <c r="C382" s="2" t="s">
        <v>200</v>
      </c>
      <c r="D382" s="2" t="s">
        <v>193</v>
      </c>
      <c r="E382" s="2" t="n">
        <v>31</v>
      </c>
      <c r="F382" s="2" t="s">
        <v>41</v>
      </c>
      <c r="G382" s="2" t="s">
        <v>125</v>
      </c>
      <c r="H382" s="8" t="n">
        <v>42034</v>
      </c>
      <c r="I382" s="8" t="n">
        <v>136598</v>
      </c>
      <c r="J382" s="9" t="n">
        <f aca="false">H382/I382</f>
        <v>0.307720464428469</v>
      </c>
      <c r="K382" s="10" t="n">
        <v>0.125</v>
      </c>
      <c r="L382" s="8" t="n">
        <v>39050</v>
      </c>
      <c r="M382" s="9" t="n">
        <f aca="false">L382/I382</f>
        <v>0.285875342245128</v>
      </c>
      <c r="N382" s="8" t="n">
        <v>40323</v>
      </c>
      <c r="O382" s="2" t="n">
        <v>0.65</v>
      </c>
      <c r="P382" s="2" t="n">
        <v>0.36</v>
      </c>
      <c r="Q382" s="10" t="n">
        <f aca="false">L382/H382-1</f>
        <v>-0.0709901508302803</v>
      </c>
      <c r="R382" s="10" t="n">
        <f aca="false">ABS(Q382)</f>
        <v>0.0709901508302803</v>
      </c>
      <c r="S382" s="2" t="s">
        <v>43</v>
      </c>
      <c r="T382" s="2" t="n">
        <v>0.45</v>
      </c>
      <c r="U382" s="2" t="n">
        <v>1.014</v>
      </c>
    </row>
    <row r="383" customFormat="false" ht="15" hidden="false" customHeight="false" outlineLevel="0" collapsed="false">
      <c r="A383" s="2" t="s">
        <v>317</v>
      </c>
      <c r="B383" s="2" t="s">
        <v>53</v>
      </c>
      <c r="C383" s="2" t="s">
        <v>200</v>
      </c>
      <c r="D383" s="2" t="s">
        <v>193</v>
      </c>
      <c r="E383" s="2" t="n">
        <v>31</v>
      </c>
      <c r="F383" s="2" t="s">
        <v>41</v>
      </c>
      <c r="G383" s="2" t="s">
        <v>125</v>
      </c>
      <c r="H383" s="8" t="n">
        <v>44765</v>
      </c>
      <c r="I383" s="8" t="n">
        <v>144761</v>
      </c>
      <c r="J383" s="9" t="n">
        <f aca="false">H383/I383</f>
        <v>0.309233840606241</v>
      </c>
      <c r="K383" s="10" t="n">
        <v>0.112</v>
      </c>
      <c r="L383" s="8" t="n">
        <v>40794</v>
      </c>
      <c r="M383" s="9" t="n">
        <f aca="false">L383/I383</f>
        <v>0.281802419159857</v>
      </c>
      <c r="N383" s="8" t="n">
        <v>41351</v>
      </c>
      <c r="O383" s="2" t="n">
        <v>0.65</v>
      </c>
      <c r="P383" s="2" t="n">
        <v>0.36</v>
      </c>
      <c r="Q383" s="10" t="n">
        <f aca="false">L383/H383-1</f>
        <v>-0.0887076957444432</v>
      </c>
      <c r="R383" s="10" t="n">
        <f aca="false">ABS(Q383)</f>
        <v>0.0887076957444432</v>
      </c>
      <c r="S383" s="2" t="s">
        <v>43</v>
      </c>
      <c r="T383" s="2" t="n">
        <v>0.48</v>
      </c>
      <c r="U383" s="2" t="n">
        <v>1.14</v>
      </c>
    </row>
    <row r="384" customFormat="false" ht="15" hidden="false" customHeight="false" outlineLevel="0" collapsed="false">
      <c r="A384" s="2" t="s">
        <v>317</v>
      </c>
      <c r="B384" s="2" t="s">
        <v>54</v>
      </c>
      <c r="C384" s="2" t="s">
        <v>200</v>
      </c>
      <c r="D384" s="2" t="s">
        <v>193</v>
      </c>
      <c r="E384" s="2" t="n">
        <v>30</v>
      </c>
      <c r="F384" s="2" t="s">
        <v>41</v>
      </c>
      <c r="G384" s="2" t="s">
        <v>125</v>
      </c>
      <c r="H384" s="8" t="n">
        <v>29365</v>
      </c>
      <c r="I384" s="8" t="n">
        <v>90765</v>
      </c>
      <c r="J384" s="9" t="n">
        <f aca="false">H384/I384</f>
        <v>0.323527791549606</v>
      </c>
      <c r="K384" s="10" t="n">
        <v>0.136</v>
      </c>
      <c r="L384" s="8" t="n">
        <v>29052</v>
      </c>
      <c r="M384" s="9" t="n">
        <f aca="false">L384/I384</f>
        <v>0.320079325731284</v>
      </c>
      <c r="N384" s="8" t="n">
        <v>28160</v>
      </c>
      <c r="O384" s="2" t="n">
        <v>0.65</v>
      </c>
      <c r="P384" s="2" t="n">
        <v>0.36</v>
      </c>
      <c r="Q384" s="10" t="n">
        <f aca="false">L384/H384-1</f>
        <v>-0.0106589477268858</v>
      </c>
      <c r="R384" s="10" t="n">
        <f aca="false">ABS(Q384)</f>
        <v>0.0106589477268858</v>
      </c>
      <c r="S384" s="2" t="s">
        <v>43</v>
      </c>
      <c r="T384" s="2" t="n">
        <v>0.36</v>
      </c>
      <c r="U384" s="2" t="n">
        <v>1.25</v>
      </c>
    </row>
    <row r="385" customFormat="false" ht="15" hidden="false" customHeight="false" outlineLevel="0" collapsed="false">
      <c r="A385" s="2" t="s">
        <v>317</v>
      </c>
      <c r="B385" s="2" t="s">
        <v>57</v>
      </c>
      <c r="C385" s="2" t="s">
        <v>200</v>
      </c>
      <c r="D385" s="2" t="s">
        <v>193</v>
      </c>
      <c r="E385" s="2" t="n">
        <v>31</v>
      </c>
      <c r="F385" s="2" t="s">
        <v>41</v>
      </c>
      <c r="G385" s="2" t="s">
        <v>125</v>
      </c>
      <c r="H385" s="8" t="n">
        <v>43159</v>
      </c>
      <c r="I385" s="8" t="n">
        <v>143082</v>
      </c>
      <c r="J385" s="9" t="n">
        <f aca="false">H385/I385</f>
        <v>0.301638221439454</v>
      </c>
      <c r="K385" s="10" t="n">
        <v>0.097</v>
      </c>
      <c r="L385" s="8" t="n">
        <v>39555</v>
      </c>
      <c r="M385" s="9" t="n">
        <f aca="false">L385/I385</f>
        <v>0.276449867907913</v>
      </c>
      <c r="N385" s="8" t="n">
        <v>40704</v>
      </c>
      <c r="O385" s="2" t="n">
        <v>0.64</v>
      </c>
      <c r="P385" s="2" t="n">
        <v>0.36</v>
      </c>
      <c r="Q385" s="10" t="n">
        <f aca="false">L385/H385-1</f>
        <v>-0.0835051785259158</v>
      </c>
      <c r="R385" s="10" t="n">
        <f aca="false">ABS(Q385)</f>
        <v>0.0835051785259158</v>
      </c>
      <c r="S385" s="2" t="s">
        <v>43</v>
      </c>
      <c r="T385" s="2" t="n">
        <v>0.49</v>
      </c>
      <c r="U385" s="2" t="n">
        <v>1.039</v>
      </c>
    </row>
    <row r="386" customFormat="false" ht="15" hidden="false" customHeight="false" outlineLevel="0" collapsed="false">
      <c r="A386" s="2" t="s">
        <v>317</v>
      </c>
      <c r="B386" s="2" t="s">
        <v>58</v>
      </c>
      <c r="C386" s="2" t="s">
        <v>200</v>
      </c>
      <c r="D386" s="2" t="s">
        <v>193</v>
      </c>
      <c r="E386" s="2" t="n">
        <v>30</v>
      </c>
      <c r="F386" s="2" t="s">
        <v>322</v>
      </c>
      <c r="G386" s="2" t="s">
        <v>125</v>
      </c>
      <c r="H386" s="8" t="n">
        <v>46006</v>
      </c>
      <c r="I386" s="8" t="n">
        <v>146856</v>
      </c>
      <c r="J386" s="9" t="n">
        <f aca="false">H386/I386</f>
        <v>0.3132728659367</v>
      </c>
      <c r="K386" s="10" t="n">
        <v>0.073</v>
      </c>
      <c r="L386" s="8" t="n">
        <v>44642</v>
      </c>
      <c r="M386" s="9" t="n">
        <f aca="false">L386/I386</f>
        <v>0.303984855913276</v>
      </c>
      <c r="N386" s="8" t="n">
        <v>45749</v>
      </c>
      <c r="O386" s="2" t="n">
        <v>0.64</v>
      </c>
      <c r="P386" s="2" t="n">
        <v>0.36</v>
      </c>
      <c r="Q386" s="10" t="n">
        <f aca="false">L386/H386-1</f>
        <v>-0.0296483067425988</v>
      </c>
      <c r="R386" s="10" t="n">
        <f aca="false">ABS(Q386)</f>
        <v>0.0296483067425988</v>
      </c>
      <c r="S386" s="2" t="s">
        <v>43</v>
      </c>
      <c r="T386" s="2" t="n">
        <v>0.46</v>
      </c>
      <c r="U386" s="2" t="n">
        <v>1</v>
      </c>
    </row>
    <row r="387" customFormat="false" ht="15" hidden="false" customHeight="false" outlineLevel="0" collapsed="false">
      <c r="A387" s="2" t="s">
        <v>317</v>
      </c>
      <c r="B387" s="2" t="s">
        <v>59</v>
      </c>
      <c r="C387" s="2" t="s">
        <v>200</v>
      </c>
      <c r="D387" s="2" t="s">
        <v>193</v>
      </c>
      <c r="E387" s="2" t="n">
        <v>31</v>
      </c>
      <c r="F387" s="2" t="s">
        <v>41</v>
      </c>
      <c r="G387" s="2" t="s">
        <v>125</v>
      </c>
      <c r="H387" s="8" t="n">
        <v>44523</v>
      </c>
      <c r="I387" s="8" t="n">
        <v>143212</v>
      </c>
      <c r="J387" s="9" t="n">
        <f aca="false">H387/I387</f>
        <v>0.310888752339189</v>
      </c>
      <c r="K387" s="10" t="n">
        <v>0.061</v>
      </c>
      <c r="L387" s="8" t="n">
        <v>41346</v>
      </c>
      <c r="M387" s="9" t="n">
        <f aca="false">L387/I387</f>
        <v>0.288704857134877</v>
      </c>
      <c r="N387" s="8" t="n">
        <v>44303</v>
      </c>
      <c r="O387" s="2" t="n">
        <v>0.64</v>
      </c>
      <c r="P387" s="2" t="n">
        <v>0.36</v>
      </c>
      <c r="Q387" s="10" t="n">
        <f aca="false">L387/H387-1</f>
        <v>-0.0713563776025874</v>
      </c>
      <c r="R387" s="10" t="n">
        <f aca="false">ABS(Q387)</f>
        <v>0.0713563776025874</v>
      </c>
      <c r="S387" s="2" t="s">
        <v>43</v>
      </c>
      <c r="T387" s="2" t="n">
        <v>0.45</v>
      </c>
      <c r="U387" s="2" t="n">
        <v>1.012</v>
      </c>
    </row>
    <row r="388" customFormat="false" ht="15" hidden="false" customHeight="false" outlineLevel="0" collapsed="false">
      <c r="A388" s="2" t="s">
        <v>317</v>
      </c>
      <c r="B388" s="2" t="s">
        <v>60</v>
      </c>
      <c r="C388" s="2" t="s">
        <v>200</v>
      </c>
      <c r="D388" s="2" t="s">
        <v>193</v>
      </c>
      <c r="E388" s="2" t="n">
        <v>31</v>
      </c>
      <c r="F388" s="2" t="s">
        <v>41</v>
      </c>
      <c r="G388" s="2" t="s">
        <v>125</v>
      </c>
      <c r="H388" s="8" t="n">
        <v>38446</v>
      </c>
      <c r="I388" s="8" t="n">
        <v>121324</v>
      </c>
      <c r="J388" s="9" t="n">
        <f aca="false">H388/I388</f>
        <v>0.316887013286736</v>
      </c>
      <c r="K388" s="10" t="n">
        <v>0.083</v>
      </c>
      <c r="L388" s="8" t="n">
        <v>37539</v>
      </c>
      <c r="M388" s="9" t="n">
        <f aca="false">L388/I388</f>
        <v>0.309411163496093</v>
      </c>
      <c r="N388" s="8" t="n">
        <v>39393</v>
      </c>
      <c r="O388" s="2" t="n">
        <v>0.68</v>
      </c>
      <c r="P388" s="2" t="n">
        <v>0.36</v>
      </c>
      <c r="Q388" s="10" t="n">
        <f aca="false">L388/H388-1</f>
        <v>-0.0235915309785153</v>
      </c>
      <c r="R388" s="10" t="n">
        <f aca="false">ABS(Q388)</f>
        <v>0.0235915309785153</v>
      </c>
      <c r="S388" s="2" t="s">
        <v>43</v>
      </c>
      <c r="T388" s="2" t="n">
        <v>0.41</v>
      </c>
      <c r="U388" s="2" t="n">
        <v>1.016</v>
      </c>
    </row>
    <row r="389" customFormat="false" ht="15" hidden="false" customHeight="false" outlineLevel="0" collapsed="false">
      <c r="A389" s="2" t="s">
        <v>317</v>
      </c>
      <c r="B389" s="2" t="s">
        <v>61</v>
      </c>
      <c r="C389" s="2" t="s">
        <v>200</v>
      </c>
      <c r="D389" s="2" t="s">
        <v>193</v>
      </c>
      <c r="E389" s="2" t="n">
        <v>28</v>
      </c>
      <c r="F389" s="2" t="s">
        <v>41</v>
      </c>
      <c r="G389" s="2" t="s">
        <v>125</v>
      </c>
      <c r="H389" s="8" t="n">
        <v>38877</v>
      </c>
      <c r="I389" s="8" t="n">
        <v>126184</v>
      </c>
      <c r="J389" s="9" t="n">
        <f aca="false">H389/I389</f>
        <v>0.308097698598872</v>
      </c>
      <c r="K389" s="10" t="n">
        <v>0.092</v>
      </c>
      <c r="L389" s="8" t="n">
        <v>38135</v>
      </c>
      <c r="M389" s="9" t="n">
        <f aca="false">L389/I389</f>
        <v>0.302217396817346</v>
      </c>
      <c r="N389" s="8" t="n">
        <v>39764</v>
      </c>
      <c r="O389" s="2" t="n">
        <v>0.68</v>
      </c>
      <c r="P389" s="2" t="n">
        <v>0.36</v>
      </c>
      <c r="Q389" s="10" t="n">
        <f aca="false">L389/H389-1</f>
        <v>-0.0190858348123569</v>
      </c>
      <c r="R389" s="10" t="n">
        <f aca="false">ABS(Q389)</f>
        <v>0.0190858348123569</v>
      </c>
      <c r="S389" s="2" t="s">
        <v>43</v>
      </c>
      <c r="T389" s="2" t="n">
        <v>0.46</v>
      </c>
      <c r="U389" s="2" t="n">
        <v>0.982</v>
      </c>
    </row>
    <row r="390" customFormat="false" ht="15" hidden="false" customHeight="false" outlineLevel="0" collapsed="false">
      <c r="A390" s="2" t="s">
        <v>317</v>
      </c>
      <c r="B390" s="2" t="s">
        <v>63</v>
      </c>
      <c r="C390" s="2" t="s">
        <v>200</v>
      </c>
      <c r="D390" s="2" t="s">
        <v>193</v>
      </c>
      <c r="E390" s="2" t="n">
        <v>30</v>
      </c>
      <c r="F390" s="2" t="s">
        <v>41</v>
      </c>
      <c r="G390" s="2" t="s">
        <v>125</v>
      </c>
      <c r="H390" s="8" t="n">
        <v>48304</v>
      </c>
      <c r="I390" s="8" t="n">
        <v>151317</v>
      </c>
      <c r="J390" s="9" t="n">
        <f aca="false">H390/I390</f>
        <v>0.319223880991561</v>
      </c>
      <c r="K390" s="10" t="n">
        <v>0.102</v>
      </c>
      <c r="L390" s="8" t="n">
        <v>44953</v>
      </c>
      <c r="M390" s="9" t="n">
        <f aca="false">L390/I390</f>
        <v>0.297078319025622</v>
      </c>
      <c r="N390" s="8" t="n">
        <v>47385</v>
      </c>
      <c r="O390" s="2" t="n">
        <v>0.66</v>
      </c>
      <c r="P390" s="2" t="n">
        <v>0.35</v>
      </c>
      <c r="Q390" s="10" t="n">
        <f aca="false">L390/H390-1</f>
        <v>-0.069373136800265</v>
      </c>
      <c r="R390" s="10" t="n">
        <f aca="false">ABS(Q390)</f>
        <v>0.069373136800265</v>
      </c>
      <c r="S390" s="2" t="s">
        <v>43</v>
      </c>
      <c r="T390" s="2" t="n">
        <v>0.43</v>
      </c>
      <c r="U390" s="2" t="n">
        <v>1.023</v>
      </c>
    </row>
    <row r="391" customFormat="false" ht="15" hidden="false" customHeight="false" outlineLevel="0" collapsed="false">
      <c r="A391" s="2" t="s">
        <v>317</v>
      </c>
      <c r="B391" s="2" t="s">
        <v>64</v>
      </c>
      <c r="C391" s="2" t="s">
        <v>200</v>
      </c>
      <c r="D391" s="2" t="s">
        <v>193</v>
      </c>
      <c r="E391" s="2" t="n">
        <v>31</v>
      </c>
      <c r="F391" s="2" t="s">
        <v>41</v>
      </c>
      <c r="G391" s="2" t="s">
        <v>125</v>
      </c>
      <c r="H391" s="8" t="n">
        <v>45036</v>
      </c>
      <c r="I391" s="8" t="n">
        <v>142243</v>
      </c>
      <c r="J391" s="9" t="n">
        <f aca="false">H391/I391</f>
        <v>0.316613119802029</v>
      </c>
      <c r="K391" s="10" t="n">
        <v>0.122</v>
      </c>
      <c r="L391" s="8" t="n">
        <v>43988</v>
      </c>
      <c r="M391" s="9" t="n">
        <f aca="false">L391/I391</f>
        <v>0.309245446173098</v>
      </c>
      <c r="N391" s="8" t="n">
        <v>42824</v>
      </c>
      <c r="O391" s="2" t="n">
        <v>0.66</v>
      </c>
      <c r="P391" s="2" t="n">
        <v>0.35</v>
      </c>
      <c r="Q391" s="10" t="n">
        <f aca="false">L391/H391-1</f>
        <v>-0.0232702726707523</v>
      </c>
      <c r="R391" s="10" t="n">
        <f aca="false">ABS(Q391)</f>
        <v>0.0232702726707523</v>
      </c>
      <c r="S391" s="2" t="s">
        <v>43</v>
      </c>
      <c r="T391" s="2" t="n">
        <v>0.4</v>
      </c>
      <c r="U391" s="2" t="n">
        <v>1.053</v>
      </c>
    </row>
    <row r="392" customFormat="false" ht="15" hidden="false" customHeight="false" outlineLevel="0" collapsed="false">
      <c r="A392" s="2" t="s">
        <v>317</v>
      </c>
      <c r="B392" s="2" t="s">
        <v>65</v>
      </c>
      <c r="C392" s="2" t="s">
        <v>200</v>
      </c>
      <c r="D392" s="2" t="s">
        <v>193</v>
      </c>
      <c r="E392" s="2" t="n">
        <v>30</v>
      </c>
      <c r="F392" s="2" t="s">
        <v>41</v>
      </c>
      <c r="G392" s="2" t="s">
        <v>125</v>
      </c>
      <c r="H392" s="8" t="n">
        <v>36774</v>
      </c>
      <c r="I392" s="8" t="n">
        <v>114687</v>
      </c>
      <c r="J392" s="9" t="n">
        <f aca="false">H392/I392</f>
        <v>0.320646629522091</v>
      </c>
      <c r="K392" s="10" t="n">
        <v>0.132</v>
      </c>
      <c r="L392" s="8" t="n">
        <v>36279</v>
      </c>
      <c r="M392" s="9" t="n">
        <f aca="false">L392/I392</f>
        <v>0.316330534411049</v>
      </c>
      <c r="N392" s="8" t="n">
        <v>36940</v>
      </c>
      <c r="O392" s="2" t="n">
        <v>0.66</v>
      </c>
      <c r="P392" s="2" t="n">
        <v>0.35</v>
      </c>
      <c r="Q392" s="10" t="n">
        <f aca="false">L392/H392-1</f>
        <v>-0.0134605971610376</v>
      </c>
      <c r="R392" s="10" t="n">
        <f aca="false">ABS(Q392)</f>
        <v>0.0134605971610376</v>
      </c>
      <c r="S392" s="2" t="s">
        <v>43</v>
      </c>
      <c r="T392" s="2" t="n">
        <v>0.38</v>
      </c>
      <c r="U392" s="2" t="n">
        <v>0.968</v>
      </c>
    </row>
    <row r="393" customFormat="false" ht="15" hidden="false" customHeight="false" outlineLevel="0" collapsed="false">
      <c r="A393" s="2" t="s">
        <v>317</v>
      </c>
      <c r="B393" s="2" t="s">
        <v>66</v>
      </c>
      <c r="C393" s="2" t="s">
        <v>200</v>
      </c>
      <c r="D393" s="2" t="s">
        <v>193</v>
      </c>
      <c r="E393" s="2" t="n">
        <v>31</v>
      </c>
      <c r="F393" s="2" t="s">
        <v>41</v>
      </c>
      <c r="G393" s="2" t="s">
        <v>125</v>
      </c>
      <c r="H393" s="8" t="n">
        <v>43637</v>
      </c>
      <c r="I393" s="8" t="n">
        <v>132877</v>
      </c>
      <c r="J393" s="9" t="n">
        <f aca="false">H393/I393</f>
        <v>0.328401453976234</v>
      </c>
      <c r="K393" s="10" t="n">
        <v>0.107</v>
      </c>
      <c r="L393" s="8" t="n">
        <v>40902</v>
      </c>
      <c r="M393" s="9" t="n">
        <f aca="false">L393/I393</f>
        <v>0.307818508846527</v>
      </c>
      <c r="N393" s="8" t="n">
        <v>42993</v>
      </c>
      <c r="O393" s="2" t="n">
        <v>0.62</v>
      </c>
      <c r="P393" s="2" t="n">
        <v>0.32</v>
      </c>
      <c r="Q393" s="10" t="n">
        <f aca="false">L393/H393-1</f>
        <v>-0.0626761693058643</v>
      </c>
      <c r="R393" s="10" t="n">
        <f aca="false">ABS(Q393)</f>
        <v>0.0626761693058643</v>
      </c>
      <c r="S393" s="2" t="s">
        <v>43</v>
      </c>
      <c r="T393" s="2" t="n">
        <v>0.4</v>
      </c>
      <c r="U393" s="2" t="n">
        <v>1.007</v>
      </c>
    </row>
    <row r="394" customFormat="false" ht="15" hidden="false" customHeight="false" outlineLevel="0" collapsed="false">
      <c r="A394" s="2" t="s">
        <v>317</v>
      </c>
      <c r="B394" s="2" t="s">
        <v>67</v>
      </c>
      <c r="C394" s="2" t="s">
        <v>200</v>
      </c>
      <c r="D394" s="2" t="s">
        <v>193</v>
      </c>
      <c r="E394" s="2" t="n">
        <v>31</v>
      </c>
      <c r="F394" s="2" t="s">
        <v>41</v>
      </c>
      <c r="G394" s="2" t="s">
        <v>323</v>
      </c>
      <c r="H394" s="8" t="n">
        <v>55704</v>
      </c>
      <c r="I394" s="8" t="n">
        <v>168515</v>
      </c>
      <c r="J394" s="9" t="n">
        <f aca="false">H394/I394</f>
        <v>0.330558110553957</v>
      </c>
      <c r="K394" s="10" t="n">
        <v>0.089</v>
      </c>
      <c r="L394" s="8" t="n">
        <v>52149</v>
      </c>
      <c r="M394" s="9" t="n">
        <f aca="false">L394/I394</f>
        <v>0.309462065691482</v>
      </c>
      <c r="N394" s="8" t="n">
        <v>54742</v>
      </c>
      <c r="O394" s="2" t="n">
        <v>0.62</v>
      </c>
      <c r="P394" s="2" t="n">
        <v>0.32</v>
      </c>
      <c r="Q394" s="10" t="n">
        <f aca="false">L394/H394-1</f>
        <v>-0.0638194743644981</v>
      </c>
      <c r="R394" s="10" t="n">
        <f aca="false">ABS(Q394)</f>
        <v>0.0638194743644981</v>
      </c>
      <c r="S394" s="2" t="s">
        <v>43</v>
      </c>
      <c r="T394" s="2" t="n">
        <v>0.39</v>
      </c>
      <c r="U394" s="2" t="n">
        <v>1.011</v>
      </c>
    </row>
    <row r="395" customFormat="false" ht="15" hidden="false" customHeight="false" outlineLevel="0" collapsed="false">
      <c r="A395" s="2" t="s">
        <v>317</v>
      </c>
      <c r="B395" s="2" t="s">
        <v>68</v>
      </c>
      <c r="C395" s="2" t="s">
        <v>200</v>
      </c>
      <c r="D395" s="2" t="s">
        <v>193</v>
      </c>
      <c r="E395" s="2" t="n">
        <v>30</v>
      </c>
      <c r="F395" s="2" t="s">
        <v>51</v>
      </c>
      <c r="G395" s="2" t="s">
        <v>323</v>
      </c>
      <c r="H395" s="8" t="n">
        <v>66239</v>
      </c>
      <c r="I395" s="8" t="n">
        <v>204195</v>
      </c>
      <c r="J395" s="9" t="n">
        <f aca="false">H395/I395</f>
        <v>0.324390900854575</v>
      </c>
      <c r="K395" s="10" t="n">
        <v>0.078</v>
      </c>
      <c r="L395" s="8" t="n">
        <v>60092</v>
      </c>
      <c r="M395" s="9" t="n">
        <f aca="false">L395/I395</f>
        <v>0.294287323391856</v>
      </c>
      <c r="N395" s="8" t="n">
        <v>63630</v>
      </c>
      <c r="O395" s="2" t="n">
        <v>0.62</v>
      </c>
      <c r="P395" s="2" t="n">
        <v>0.32</v>
      </c>
      <c r="Q395" s="10" t="n">
        <f aca="false">L395/H395-1</f>
        <v>-0.0928003140144024</v>
      </c>
      <c r="R395" s="10" t="n">
        <f aca="false">ABS(Q395)</f>
        <v>0.0928003140144024</v>
      </c>
      <c r="S395" s="2" t="s">
        <v>43</v>
      </c>
      <c r="T395" s="2" t="n">
        <v>0.44</v>
      </c>
      <c r="U395" s="2" t="n">
        <v>1.053</v>
      </c>
    </row>
    <row r="396" customFormat="false" ht="15" hidden="false" customHeight="false" outlineLevel="0" collapsed="false">
      <c r="A396" s="2" t="s">
        <v>324</v>
      </c>
      <c r="B396" s="2" t="s">
        <v>54</v>
      </c>
      <c r="C396" s="2" t="s">
        <v>200</v>
      </c>
      <c r="D396" s="2" t="s">
        <v>40</v>
      </c>
      <c r="E396" s="2" t="n">
        <v>30</v>
      </c>
      <c r="F396" s="2" t="s">
        <v>325</v>
      </c>
      <c r="G396" s="2" t="s">
        <v>326</v>
      </c>
      <c r="H396" s="8" t="n">
        <v>16816</v>
      </c>
      <c r="I396" s="8" t="n">
        <v>45057</v>
      </c>
      <c r="J396" s="9" t="n">
        <f aca="false">H396/I396</f>
        <v>0.373216148434206</v>
      </c>
      <c r="K396" s="10" t="n">
        <v>0.306</v>
      </c>
      <c r="L396" s="8" t="n">
        <v>18962</v>
      </c>
      <c r="M396" s="9" t="n">
        <f aca="false">L396/I396</f>
        <v>0.420844707814546</v>
      </c>
      <c r="N396" s="8" t="n">
        <v>18985</v>
      </c>
      <c r="O396" s="2" t="n">
        <v>0.45</v>
      </c>
      <c r="P396" s="2" t="n">
        <v>0.22</v>
      </c>
      <c r="Q396" s="10" t="n">
        <f aca="false">L396/H396-1</f>
        <v>0.127616555661275</v>
      </c>
      <c r="R396" s="10" t="n">
        <f aca="false">ABS(Q396)</f>
        <v>0.127616555661275</v>
      </c>
      <c r="S396" s="2" t="s">
        <v>43</v>
      </c>
      <c r="T396" s="2" t="n">
        <v>0.16</v>
      </c>
      <c r="U396" s="2" t="n">
        <v>0.99</v>
      </c>
    </row>
    <row r="397" customFormat="false" ht="15" hidden="false" customHeight="false" outlineLevel="0" collapsed="false">
      <c r="A397" s="2" t="s">
        <v>324</v>
      </c>
      <c r="B397" s="2" t="s">
        <v>57</v>
      </c>
      <c r="C397" s="2" t="s">
        <v>200</v>
      </c>
      <c r="D397" s="2" t="s">
        <v>40</v>
      </c>
      <c r="E397" s="2" t="n">
        <v>31</v>
      </c>
      <c r="F397" s="2" t="s">
        <v>327</v>
      </c>
      <c r="G397" s="2" t="s">
        <v>326</v>
      </c>
      <c r="H397" s="8" t="n">
        <v>21019</v>
      </c>
      <c r="I397" s="8" t="n">
        <v>48823</v>
      </c>
      <c r="J397" s="9" t="n">
        <f aca="false">H397/I397</f>
        <v>0.43051430678164</v>
      </c>
      <c r="K397" s="10" t="n">
        <v>0.277</v>
      </c>
      <c r="L397" s="8" t="n">
        <v>20070</v>
      </c>
      <c r="M397" s="9" t="n">
        <f aca="false">L397/I397</f>
        <v>0.411076746615325</v>
      </c>
      <c r="N397" s="8" t="n">
        <v>20080</v>
      </c>
      <c r="O397" s="2" t="n">
        <v>0.47</v>
      </c>
      <c r="P397" s="2" t="n">
        <v>0.24</v>
      </c>
      <c r="Q397" s="10" t="n">
        <f aca="false">L397/H397-1</f>
        <v>-0.0451496265283791</v>
      </c>
      <c r="R397" s="10" t="n">
        <f aca="false">ABS(Q397)</f>
        <v>0.0451496265283791</v>
      </c>
      <c r="S397" s="2" t="s">
        <v>146</v>
      </c>
      <c r="T397" s="2" t="n">
        <v>0.17</v>
      </c>
      <c r="U397" s="2" t="n">
        <v>1.04</v>
      </c>
    </row>
    <row r="398" customFormat="false" ht="15" hidden="false" customHeight="false" outlineLevel="0" collapsed="false">
      <c r="A398" s="2" t="s">
        <v>324</v>
      </c>
      <c r="B398" s="2" t="s">
        <v>58</v>
      </c>
      <c r="C398" s="2" t="s">
        <v>200</v>
      </c>
      <c r="D398" s="2" t="s">
        <v>40</v>
      </c>
      <c r="E398" s="2" t="n">
        <v>30</v>
      </c>
      <c r="F398" s="2" t="s">
        <v>327</v>
      </c>
      <c r="G398" s="2" t="s">
        <v>326</v>
      </c>
      <c r="H398" s="8" t="n">
        <v>15358</v>
      </c>
      <c r="I398" s="8" t="n">
        <v>34708</v>
      </c>
      <c r="J398" s="9" t="n">
        <f aca="false">H398/I398</f>
        <v>0.442491644577619</v>
      </c>
      <c r="K398" s="10" t="n">
        <v>0.234</v>
      </c>
      <c r="L398" s="8" t="n">
        <v>17277</v>
      </c>
      <c r="M398" s="9" t="n">
        <f aca="false">L398/I398</f>
        <v>0.497781491298836</v>
      </c>
      <c r="N398" s="8" t="n">
        <v>18033</v>
      </c>
      <c r="O398" s="2" t="n">
        <v>0.47</v>
      </c>
      <c r="P398" s="2" t="n">
        <v>0.24</v>
      </c>
      <c r="Q398" s="10" t="n">
        <f aca="false">L398/H398-1</f>
        <v>0.124951165516343</v>
      </c>
      <c r="R398" s="10" t="n">
        <f aca="false">ABS(Q398)</f>
        <v>0.124951165516343</v>
      </c>
      <c r="S398" s="2" t="s">
        <v>146</v>
      </c>
      <c r="T398" s="2" t="n">
        <v>0.12</v>
      </c>
      <c r="U398" s="2" t="n">
        <v>0.911</v>
      </c>
    </row>
    <row r="399" customFormat="false" ht="15" hidden="false" customHeight="false" outlineLevel="0" collapsed="false">
      <c r="A399" s="2" t="s">
        <v>324</v>
      </c>
      <c r="B399" s="2" t="s">
        <v>59</v>
      </c>
      <c r="C399" s="2" t="s">
        <v>200</v>
      </c>
      <c r="D399" s="2" t="s">
        <v>40</v>
      </c>
      <c r="E399" s="2" t="n">
        <v>31</v>
      </c>
      <c r="F399" s="2" t="s">
        <v>328</v>
      </c>
      <c r="G399" s="2" t="s">
        <v>326</v>
      </c>
      <c r="H399" s="8" t="n">
        <v>21192</v>
      </c>
      <c r="I399" s="8" t="n">
        <v>54257</v>
      </c>
      <c r="J399" s="9" t="n">
        <f aca="false">H399/I399</f>
        <v>0.39058554656542</v>
      </c>
      <c r="K399" s="10" t="n">
        <v>0.243</v>
      </c>
      <c r="L399" s="8" t="n">
        <v>21532</v>
      </c>
      <c r="M399" s="9" t="n">
        <f aca="false">L399/I399</f>
        <v>0.39685201909431</v>
      </c>
      <c r="N399" s="8" t="n">
        <v>21582</v>
      </c>
      <c r="O399" s="2" t="n">
        <v>0.47</v>
      </c>
      <c r="P399" s="2" t="n">
        <v>0.24</v>
      </c>
      <c r="Q399" s="10" t="n">
        <f aca="false">L399/H399-1</f>
        <v>0.0160437901094752</v>
      </c>
      <c r="R399" s="10" t="n">
        <f aca="false">ABS(Q399)</f>
        <v>0.0160437901094752</v>
      </c>
      <c r="S399" s="2" t="s">
        <v>146</v>
      </c>
      <c r="T399" s="2" t="n">
        <v>0.18</v>
      </c>
      <c r="U399" s="2" t="n">
        <v>0.994</v>
      </c>
    </row>
    <row r="400" customFormat="false" ht="15" hidden="false" customHeight="false" outlineLevel="0" collapsed="false">
      <c r="A400" s="2" t="s">
        <v>324</v>
      </c>
      <c r="B400" s="2" t="s">
        <v>60</v>
      </c>
      <c r="C400" s="2" t="s">
        <v>200</v>
      </c>
      <c r="D400" s="2" t="s">
        <v>40</v>
      </c>
      <c r="E400" s="2" t="n">
        <v>31</v>
      </c>
      <c r="F400" s="2" t="s">
        <v>328</v>
      </c>
      <c r="G400" s="2" t="s">
        <v>326</v>
      </c>
      <c r="H400" s="8" t="n">
        <v>21430</v>
      </c>
      <c r="I400" s="8" t="n">
        <v>58793</v>
      </c>
      <c r="J400" s="9" t="n">
        <f aca="false">H400/I400</f>
        <v>0.364499175071862</v>
      </c>
      <c r="K400" s="10" t="n">
        <v>0.249</v>
      </c>
      <c r="L400" s="8" t="n">
        <v>22471</v>
      </c>
      <c r="M400" s="9" t="n">
        <f aca="false">L400/I400</f>
        <v>0.382205364584219</v>
      </c>
      <c r="N400" s="8" t="n">
        <v>22581</v>
      </c>
      <c r="O400" s="2" t="n">
        <v>0.47</v>
      </c>
      <c r="P400" s="2" t="n">
        <v>0.24</v>
      </c>
      <c r="Q400" s="10" t="n">
        <f aca="false">L400/H400-1</f>
        <v>0.0485767615492301</v>
      </c>
      <c r="R400" s="10" t="n">
        <f aca="false">ABS(Q400)</f>
        <v>0.0485767615492301</v>
      </c>
      <c r="S400" s="2" t="s">
        <v>146</v>
      </c>
      <c r="T400" s="2" t="n">
        <v>0.2</v>
      </c>
      <c r="U400" s="2" t="n">
        <v>1</v>
      </c>
    </row>
    <row r="401" customFormat="false" ht="15" hidden="false" customHeight="false" outlineLevel="0" collapsed="false">
      <c r="A401" s="2" t="s">
        <v>324</v>
      </c>
      <c r="B401" s="2" t="s">
        <v>61</v>
      </c>
      <c r="C401" s="2" t="s">
        <v>200</v>
      </c>
      <c r="D401" s="2" t="s">
        <v>40</v>
      </c>
      <c r="E401" s="2" t="n">
        <v>28</v>
      </c>
      <c r="F401" s="2" t="s">
        <v>328</v>
      </c>
      <c r="G401" s="2" t="s">
        <v>326</v>
      </c>
      <c r="H401" s="8" t="n">
        <v>20911</v>
      </c>
      <c r="I401" s="8" t="n">
        <v>59288</v>
      </c>
      <c r="J401" s="9" t="n">
        <f aca="false">H401/I401</f>
        <v>0.352702064498718</v>
      </c>
      <c r="K401" s="10" t="n">
        <v>0.304</v>
      </c>
      <c r="L401" s="8" t="n">
        <v>21691</v>
      </c>
      <c r="M401" s="9" t="n">
        <f aca="false">L401/I401</f>
        <v>0.365858183780866</v>
      </c>
      <c r="N401" s="8" t="n">
        <v>21761</v>
      </c>
      <c r="O401" s="2" t="n">
        <v>0.47</v>
      </c>
      <c r="P401" s="2" t="n">
        <v>0.24</v>
      </c>
      <c r="Q401" s="10" t="n">
        <f aca="false">L401/H401-1</f>
        <v>0.0373009420878963</v>
      </c>
      <c r="R401" s="10" t="n">
        <f aca="false">ABS(Q401)</f>
        <v>0.0373009420878963</v>
      </c>
      <c r="S401" s="2" t="s">
        <v>146</v>
      </c>
      <c r="T401" s="2" t="n">
        <v>0.22</v>
      </c>
      <c r="U401" s="2" t="n">
        <v>0.995</v>
      </c>
    </row>
    <row r="402" customFormat="false" ht="15" hidden="false" customHeight="false" outlineLevel="0" collapsed="false">
      <c r="A402" s="2" t="s">
        <v>324</v>
      </c>
      <c r="B402" s="2" t="s">
        <v>62</v>
      </c>
      <c r="C402" s="2" t="s">
        <v>200</v>
      </c>
      <c r="D402" s="2" t="s">
        <v>40</v>
      </c>
      <c r="E402" s="2" t="n">
        <v>31</v>
      </c>
      <c r="F402" s="2" t="s">
        <v>328</v>
      </c>
      <c r="G402" s="2" t="s">
        <v>326</v>
      </c>
      <c r="H402" s="8" t="n">
        <v>31303</v>
      </c>
      <c r="I402" s="8" t="n">
        <v>75289</v>
      </c>
      <c r="J402" s="9" t="n">
        <f aca="false">H402/I402</f>
        <v>0.415771228200667</v>
      </c>
      <c r="K402" s="10" t="n">
        <v>0.316</v>
      </c>
      <c r="L402" s="8" t="n">
        <v>25939</v>
      </c>
      <c r="M402" s="9" t="n">
        <f aca="false">L402/I402</f>
        <v>0.3445257607353</v>
      </c>
      <c r="N402" s="8" t="n">
        <v>25958</v>
      </c>
      <c r="O402" s="2" t="n">
        <v>0.47</v>
      </c>
      <c r="P402" s="2" t="n">
        <v>0.24</v>
      </c>
      <c r="Q402" s="10" t="n">
        <f aca="false">L402/H402-1</f>
        <v>-0.171357377887103</v>
      </c>
      <c r="R402" s="10" t="n">
        <f aca="false">ABS(Q402)</f>
        <v>0.171357377887103</v>
      </c>
      <c r="S402" s="2" t="s">
        <v>146</v>
      </c>
      <c r="T402" s="2" t="n">
        <v>0.26</v>
      </c>
      <c r="U402" s="2" t="n">
        <v>1.075</v>
      </c>
    </row>
    <row r="403" customFormat="false" ht="15" hidden="false" customHeight="false" outlineLevel="0" collapsed="false">
      <c r="A403" s="2" t="s">
        <v>324</v>
      </c>
      <c r="B403" s="2" t="s">
        <v>63</v>
      </c>
      <c r="C403" s="2" t="s">
        <v>200</v>
      </c>
      <c r="D403" s="2" t="s">
        <v>40</v>
      </c>
      <c r="E403" s="2" t="n">
        <v>30</v>
      </c>
      <c r="F403" s="2" t="s">
        <v>328</v>
      </c>
      <c r="G403" s="2" t="s">
        <v>326</v>
      </c>
      <c r="H403" s="8" t="n">
        <v>28742</v>
      </c>
      <c r="I403" s="8" t="n">
        <v>86280</v>
      </c>
      <c r="J403" s="9" t="n">
        <f aca="false">H403/I403</f>
        <v>0.333124710245712</v>
      </c>
      <c r="K403" s="10" t="n">
        <v>0.35</v>
      </c>
      <c r="L403" s="8" t="n">
        <v>28935</v>
      </c>
      <c r="M403" s="9" t="n">
        <f aca="false">L403/I403</f>
        <v>0.335361613351878</v>
      </c>
      <c r="N403" s="8" t="n">
        <v>28621</v>
      </c>
      <c r="O403" s="2" t="n">
        <v>0.56</v>
      </c>
      <c r="P403" s="2" t="n">
        <v>0.29</v>
      </c>
      <c r="Q403" s="10" t="n">
        <f aca="false">L403/H403-1</f>
        <v>0.00671491197550633</v>
      </c>
      <c r="R403" s="10" t="n">
        <f aca="false">ABS(Q403)</f>
        <v>0.00671491197550633</v>
      </c>
      <c r="S403" s="2" t="s">
        <v>43</v>
      </c>
      <c r="T403" s="2" t="n">
        <v>0.28</v>
      </c>
      <c r="U403" s="2" t="n">
        <v>0.99</v>
      </c>
    </row>
    <row r="404" customFormat="false" ht="15" hidden="false" customHeight="false" outlineLevel="0" collapsed="false">
      <c r="A404" s="2" t="s">
        <v>324</v>
      </c>
      <c r="B404" s="2" t="s">
        <v>64</v>
      </c>
      <c r="C404" s="2" t="s">
        <v>200</v>
      </c>
      <c r="D404" s="2" t="s">
        <v>40</v>
      </c>
      <c r="E404" s="2" t="n">
        <v>31</v>
      </c>
      <c r="F404" s="2" t="s">
        <v>329</v>
      </c>
      <c r="G404" s="2" t="s">
        <v>326</v>
      </c>
      <c r="H404" s="8" t="n">
        <v>40382</v>
      </c>
      <c r="I404" s="8" t="n">
        <v>131497</v>
      </c>
      <c r="J404" s="9" t="n">
        <f aca="false">H404/I404</f>
        <v>0.307094458428709</v>
      </c>
      <c r="K404" s="10" t="n">
        <v>0.326</v>
      </c>
      <c r="L404" s="8" t="n">
        <v>41176</v>
      </c>
      <c r="M404" s="9" t="n">
        <f aca="false">L404/I404</f>
        <v>0.31313261899511</v>
      </c>
      <c r="N404" s="8" t="n">
        <v>39881</v>
      </c>
      <c r="O404" s="2" t="n">
        <v>0.56</v>
      </c>
      <c r="P404" s="2" t="n">
        <v>0.29</v>
      </c>
      <c r="Q404" s="10" t="n">
        <f aca="false">L404/H404-1</f>
        <v>0.0196622257441434</v>
      </c>
      <c r="R404" s="10" t="n">
        <f aca="false">ABS(Q404)</f>
        <v>0.0196622257441434</v>
      </c>
      <c r="S404" s="2" t="s">
        <v>43</v>
      </c>
      <c r="T404" s="2" t="n">
        <v>0.36</v>
      </c>
      <c r="U404" s="2" t="n">
        <v>1.037</v>
      </c>
    </row>
    <row r="405" customFormat="false" ht="15" hidden="false" customHeight="false" outlineLevel="0" collapsed="false">
      <c r="A405" s="2" t="s">
        <v>324</v>
      </c>
      <c r="B405" s="2" t="s">
        <v>65</v>
      </c>
      <c r="C405" s="2" t="s">
        <v>200</v>
      </c>
      <c r="D405" s="2" t="s">
        <v>40</v>
      </c>
      <c r="E405" s="2" t="n">
        <v>30</v>
      </c>
      <c r="F405" s="2" t="s">
        <v>330</v>
      </c>
      <c r="G405" s="2" t="s">
        <v>326</v>
      </c>
      <c r="H405" s="8" t="n">
        <v>42042</v>
      </c>
      <c r="I405" s="8" t="n">
        <v>139943</v>
      </c>
      <c r="J405" s="9" t="n">
        <f aca="false">H405/I405</f>
        <v>0.300422314799597</v>
      </c>
      <c r="K405" s="10" t="n">
        <v>0.313</v>
      </c>
      <c r="L405" s="8" t="n">
        <v>42954</v>
      </c>
      <c r="M405" s="9" t="n">
        <f aca="false">L405/I405</f>
        <v>0.306939253839063</v>
      </c>
      <c r="N405" s="8" t="n">
        <v>42393</v>
      </c>
      <c r="O405" s="2" t="n">
        <v>0.56</v>
      </c>
      <c r="P405" s="2" t="n">
        <v>0.29</v>
      </c>
      <c r="Q405" s="10" t="n">
        <f aca="false">L405/H405-1</f>
        <v>0.0216925931211645</v>
      </c>
      <c r="R405" s="10" t="n">
        <f aca="false">ABS(Q405)</f>
        <v>0.0216925931211645</v>
      </c>
      <c r="S405" s="2" t="s">
        <v>43</v>
      </c>
      <c r="T405" s="2" t="n">
        <v>0.3</v>
      </c>
      <c r="U405" s="2" t="n">
        <v>0.97</v>
      </c>
    </row>
    <row r="406" customFormat="false" ht="15" hidden="false" customHeight="false" outlineLevel="0" collapsed="false">
      <c r="A406" s="2" t="s">
        <v>324</v>
      </c>
      <c r="B406" s="2" t="s">
        <v>66</v>
      </c>
      <c r="C406" s="2" t="s">
        <v>200</v>
      </c>
      <c r="D406" s="2" t="s">
        <v>40</v>
      </c>
      <c r="E406" s="2" t="n">
        <v>31</v>
      </c>
      <c r="F406" s="2" t="s">
        <v>331</v>
      </c>
      <c r="G406" s="2" t="s">
        <v>326</v>
      </c>
      <c r="H406" s="8" t="n">
        <v>53657</v>
      </c>
      <c r="I406" s="8" t="n">
        <v>175805</v>
      </c>
      <c r="J406" s="9" t="n">
        <f aca="false">H406/I406</f>
        <v>0.305207474190154</v>
      </c>
      <c r="K406" s="10" t="n">
        <v>0.288</v>
      </c>
      <c r="L406" s="8" t="n">
        <v>56904</v>
      </c>
      <c r="M406" s="9" t="n">
        <f aca="false">L406/I406</f>
        <v>0.323676801001109</v>
      </c>
      <c r="N406" s="8" t="n">
        <v>52809</v>
      </c>
      <c r="O406" s="2" t="n">
        <v>0.45</v>
      </c>
      <c r="P406" s="2" t="n">
        <v>0.26</v>
      </c>
      <c r="Q406" s="10" t="n">
        <f aca="false">L406/H406-1</f>
        <v>0.0605140056283431</v>
      </c>
      <c r="R406" s="10" t="n">
        <f aca="false">ABS(Q406)</f>
        <v>0.0605140056283431</v>
      </c>
      <c r="S406" s="2" t="s">
        <v>43</v>
      </c>
      <c r="T406" s="2" t="n">
        <v>0.32</v>
      </c>
      <c r="U406" s="2" t="n">
        <v>1.057</v>
      </c>
    </row>
    <row r="407" customFormat="false" ht="15" hidden="false" customHeight="false" outlineLevel="0" collapsed="false">
      <c r="A407" s="2" t="s">
        <v>324</v>
      </c>
      <c r="B407" s="2" t="s">
        <v>67</v>
      </c>
      <c r="C407" s="2" t="s">
        <v>200</v>
      </c>
      <c r="D407" s="2" t="s">
        <v>40</v>
      </c>
      <c r="E407" s="2" t="n">
        <v>31</v>
      </c>
      <c r="F407" s="2" t="s">
        <v>332</v>
      </c>
      <c r="G407" s="2" t="s">
        <v>326</v>
      </c>
      <c r="H407" s="8" t="n">
        <v>54644</v>
      </c>
      <c r="I407" s="8" t="n">
        <v>182481</v>
      </c>
      <c r="J407" s="9" t="n">
        <f aca="false">H407/I407</f>
        <v>0.299450353735457</v>
      </c>
      <c r="K407" s="10" t="n">
        <v>0.281</v>
      </c>
      <c r="L407" s="8" t="n">
        <v>59468</v>
      </c>
      <c r="M407" s="9" t="n">
        <f aca="false">L407/I407</f>
        <v>0.325885982650249</v>
      </c>
      <c r="N407" s="8" t="n">
        <v>54102</v>
      </c>
      <c r="O407" s="2" t="n">
        <v>0.45</v>
      </c>
      <c r="P407" s="2" t="n">
        <v>0.26</v>
      </c>
      <c r="Q407" s="10" t="n">
        <f aca="false">L407/H407-1</f>
        <v>0.0882805065514969</v>
      </c>
      <c r="R407" s="10" t="n">
        <f aca="false">ABS(Q407)</f>
        <v>0.0882805065514969</v>
      </c>
      <c r="S407" s="2" t="s">
        <v>43</v>
      </c>
      <c r="T407" s="2" t="n">
        <v>0.29</v>
      </c>
      <c r="U407" s="2" t="n">
        <v>1.099</v>
      </c>
    </row>
    <row r="408" customFormat="false" ht="15" hidden="false" customHeight="false" outlineLevel="0" collapsed="false">
      <c r="A408" s="2" t="s">
        <v>324</v>
      </c>
      <c r="B408" s="2" t="s">
        <v>68</v>
      </c>
      <c r="C408" s="2" t="s">
        <v>200</v>
      </c>
      <c r="D408" s="2" t="s">
        <v>40</v>
      </c>
      <c r="E408" s="2" t="n">
        <v>30</v>
      </c>
      <c r="F408" s="2" t="s">
        <v>330</v>
      </c>
      <c r="G408" s="2" t="s">
        <v>326</v>
      </c>
      <c r="H408" s="8" t="n">
        <v>45524</v>
      </c>
      <c r="I408" s="8" t="n">
        <v>147570</v>
      </c>
      <c r="J408" s="9" t="n">
        <f aca="false">H408/I408</f>
        <v>0.308490885681372</v>
      </c>
      <c r="K408" s="10" t="n">
        <v>0.292</v>
      </c>
      <c r="L408" s="8" t="n">
        <v>46118</v>
      </c>
      <c r="M408" s="9" t="n">
        <f aca="false">L408/I408</f>
        <v>0.312516094057058</v>
      </c>
      <c r="N408" s="8" t="n">
        <v>46260</v>
      </c>
      <c r="O408" s="2" t="n">
        <v>0.45</v>
      </c>
      <c r="P408" s="2" t="n">
        <v>0.26</v>
      </c>
      <c r="Q408" s="10" t="n">
        <f aca="false">L408/H408-1</f>
        <v>0.0130480625604077</v>
      </c>
      <c r="R408" s="10" t="n">
        <f aca="false">ABS(Q408)</f>
        <v>0.0130480625604077</v>
      </c>
      <c r="S408" s="2" t="s">
        <v>43</v>
      </c>
      <c r="T408" s="2" t="n">
        <v>0.28</v>
      </c>
      <c r="U408" s="2" t="n">
        <v>1.008</v>
      </c>
    </row>
    <row r="409" customFormat="false" ht="15" hidden="false" customHeight="false" outlineLevel="0" collapsed="false">
      <c r="A409" s="2" t="s">
        <v>333</v>
      </c>
      <c r="B409" s="2" t="s">
        <v>60</v>
      </c>
      <c r="C409" s="2" t="s">
        <v>200</v>
      </c>
      <c r="D409" s="2" t="s">
        <v>40</v>
      </c>
      <c r="E409" s="2" t="n">
        <v>31</v>
      </c>
      <c r="F409" s="2" t="s">
        <v>334</v>
      </c>
      <c r="G409" s="2" t="s">
        <v>155</v>
      </c>
      <c r="H409" s="8" t="n">
        <v>8079</v>
      </c>
      <c r="I409" s="8" t="n">
        <v>16464</v>
      </c>
      <c r="J409" s="9" t="n">
        <f aca="false">H409/I409</f>
        <v>0.490706997084548</v>
      </c>
      <c r="K409" s="10" t="n">
        <v>0.127</v>
      </c>
      <c r="L409" s="8" t="n">
        <v>6537</v>
      </c>
      <c r="M409" s="9" t="n">
        <f aca="false">L409/I409</f>
        <v>0.397048104956268</v>
      </c>
      <c r="N409" s="8" t="n">
        <v>7320</v>
      </c>
      <c r="O409" s="2" t="n">
        <v>0.61</v>
      </c>
      <c r="P409" s="2" t="n">
        <v>0.31</v>
      </c>
      <c r="Q409" s="10" t="n">
        <f aca="false">L409/H409-1</f>
        <v>-0.190865206089863</v>
      </c>
      <c r="R409" s="10" t="n">
        <f aca="false">ABS(Q409)</f>
        <v>0.190865206089863</v>
      </c>
      <c r="S409" s="2" t="s">
        <v>43</v>
      </c>
      <c r="T409" s="2" t="n">
        <v>0.26</v>
      </c>
      <c r="U409" s="2" t="n">
        <v>1.195</v>
      </c>
    </row>
    <row r="410" customFormat="false" ht="15" hidden="false" customHeight="false" outlineLevel="0" collapsed="false">
      <c r="A410" s="2" t="s">
        <v>333</v>
      </c>
      <c r="B410" s="2" t="s">
        <v>61</v>
      </c>
      <c r="C410" s="2" t="s">
        <v>200</v>
      </c>
      <c r="D410" s="2" t="s">
        <v>40</v>
      </c>
      <c r="E410" s="2" t="n">
        <v>28</v>
      </c>
      <c r="F410" s="2" t="s">
        <v>335</v>
      </c>
      <c r="G410" s="2" t="s">
        <v>155</v>
      </c>
      <c r="H410" s="8" t="n">
        <v>12784</v>
      </c>
      <c r="I410" s="8" t="n">
        <v>30695</v>
      </c>
      <c r="J410" s="9" t="n">
        <f aca="false">H410/I410</f>
        <v>0.416484769506434</v>
      </c>
      <c r="K410" s="10" t="n">
        <v>0.205</v>
      </c>
      <c r="L410" s="8" t="n">
        <v>11769</v>
      </c>
      <c r="M410" s="9" t="n">
        <f aca="false">L410/I410</f>
        <v>0.383417494705978</v>
      </c>
      <c r="N410" s="8" t="n">
        <v>13397</v>
      </c>
      <c r="O410" s="2" t="n">
        <v>0.61</v>
      </c>
      <c r="P410" s="2" t="n">
        <v>0.31</v>
      </c>
      <c r="Q410" s="10" t="n">
        <f aca="false">L410/H410-1</f>
        <v>-0.0793961201501877</v>
      </c>
      <c r="R410" s="10" t="n">
        <f aca="false">ABS(Q410)</f>
        <v>0.0793961201501877</v>
      </c>
      <c r="S410" s="2" t="s">
        <v>43</v>
      </c>
      <c r="T410" s="2" t="n">
        <v>0.33</v>
      </c>
      <c r="U410" s="2" t="n">
        <v>0.985</v>
      </c>
    </row>
    <row r="411" customFormat="false" ht="15" hidden="false" customHeight="false" outlineLevel="0" collapsed="false">
      <c r="A411" s="2" t="s">
        <v>333</v>
      </c>
      <c r="B411" s="2" t="s">
        <v>62</v>
      </c>
      <c r="C411" s="2" t="s">
        <v>200</v>
      </c>
      <c r="D411" s="2" t="s">
        <v>40</v>
      </c>
      <c r="E411" s="2" t="n">
        <v>31</v>
      </c>
      <c r="F411" s="2" t="s">
        <v>336</v>
      </c>
      <c r="G411" s="2" t="s">
        <v>211</v>
      </c>
      <c r="H411" s="8" t="n">
        <v>13885</v>
      </c>
      <c r="I411" s="8" t="n">
        <v>30788</v>
      </c>
      <c r="J411" s="9" t="n">
        <f aca="false">H411/I411</f>
        <v>0.450987397687411</v>
      </c>
      <c r="K411" s="10" t="n">
        <v>0.178</v>
      </c>
      <c r="L411" s="8" t="n">
        <v>13749</v>
      </c>
      <c r="M411" s="9" t="n">
        <f aca="false">L411/I411</f>
        <v>0.446570092243731</v>
      </c>
      <c r="N411" s="8" t="n">
        <v>13593</v>
      </c>
      <c r="O411" s="2" t="n">
        <v>0.61</v>
      </c>
      <c r="P411" s="2" t="n">
        <v>0.31</v>
      </c>
      <c r="Q411" s="10" t="n">
        <f aca="false">L411/H411-1</f>
        <v>-0.0097947425279078</v>
      </c>
      <c r="R411" s="10" t="n">
        <f aca="false">ABS(Q411)</f>
        <v>0.0097947425279078</v>
      </c>
      <c r="S411" s="2" t="s">
        <v>43</v>
      </c>
      <c r="T411" s="2" t="n">
        <v>0.26</v>
      </c>
      <c r="U411" s="2" t="n">
        <v>1.25</v>
      </c>
    </row>
    <row r="412" customFormat="false" ht="15" hidden="false" customHeight="false" outlineLevel="0" collapsed="false">
      <c r="A412" s="2" t="s">
        <v>333</v>
      </c>
      <c r="B412" s="2" t="s">
        <v>63</v>
      </c>
      <c r="C412" s="2" t="s">
        <v>200</v>
      </c>
      <c r="D412" s="2" t="s">
        <v>40</v>
      </c>
      <c r="E412" s="2" t="n">
        <v>30</v>
      </c>
      <c r="F412" s="2" t="s">
        <v>217</v>
      </c>
      <c r="G412" s="2" t="s">
        <v>337</v>
      </c>
      <c r="H412" s="8" t="n">
        <v>15697</v>
      </c>
      <c r="I412" s="8" t="n">
        <v>37775</v>
      </c>
      <c r="J412" s="9" t="n">
        <f aca="false">H412/I412</f>
        <v>0.415539377895434</v>
      </c>
      <c r="K412" s="10" t="n">
        <v>0.227</v>
      </c>
      <c r="L412" s="8" t="n">
        <v>13764</v>
      </c>
      <c r="M412" s="9" t="n">
        <f aca="false">L412/I412</f>
        <v>0.364367968232958</v>
      </c>
      <c r="N412" s="8" t="n">
        <v>14819</v>
      </c>
      <c r="O412" s="2" t="n">
        <v>0.63</v>
      </c>
      <c r="P412" s="2" t="n">
        <v>0.31</v>
      </c>
      <c r="Q412" s="10" t="n">
        <f aca="false">L412/H412-1</f>
        <v>-0.123144549913996</v>
      </c>
      <c r="R412" s="10" t="n">
        <f aca="false">ABS(Q412)</f>
        <v>0.123144549913996</v>
      </c>
      <c r="S412" s="2" t="s">
        <v>43</v>
      </c>
      <c r="T412" s="2" t="n">
        <v>0.27</v>
      </c>
      <c r="U412" s="2" t="n">
        <v>0.989</v>
      </c>
    </row>
    <row r="413" customFormat="false" ht="15" hidden="false" customHeight="false" outlineLevel="0" collapsed="false">
      <c r="A413" s="2" t="s">
        <v>333</v>
      </c>
      <c r="B413" s="2" t="s">
        <v>64</v>
      </c>
      <c r="C413" s="2" t="s">
        <v>200</v>
      </c>
      <c r="D413" s="2" t="s">
        <v>40</v>
      </c>
      <c r="E413" s="2" t="n">
        <v>31</v>
      </c>
      <c r="F413" s="2" t="s">
        <v>217</v>
      </c>
      <c r="G413" s="2" t="s">
        <v>337</v>
      </c>
      <c r="H413" s="8" t="n">
        <v>16469</v>
      </c>
      <c r="I413" s="8" t="n">
        <v>46379</v>
      </c>
      <c r="J413" s="9" t="n">
        <f aca="false">H413/I413</f>
        <v>0.355096056404838</v>
      </c>
      <c r="K413" s="10" t="n">
        <v>0.241</v>
      </c>
      <c r="L413" s="8" t="n">
        <v>16558</v>
      </c>
      <c r="M413" s="9" t="n">
        <f aca="false">L413/I413</f>
        <v>0.35701502835335</v>
      </c>
      <c r="N413" s="8" t="n">
        <v>16763</v>
      </c>
      <c r="O413" s="2" t="n">
        <v>0.63</v>
      </c>
      <c r="P413" s="2" t="n">
        <v>0.31</v>
      </c>
      <c r="Q413" s="10" t="n">
        <f aca="false">L413/H413-1</f>
        <v>0.00540409253749474</v>
      </c>
      <c r="R413" s="10" t="n">
        <f aca="false">ABS(Q413)</f>
        <v>0.00540409253749474</v>
      </c>
      <c r="S413" s="2" t="s">
        <v>43</v>
      </c>
      <c r="T413" s="2" t="n">
        <v>0.29</v>
      </c>
      <c r="U413" s="2" t="n">
        <v>1.04</v>
      </c>
    </row>
    <row r="414" customFormat="false" ht="15" hidden="false" customHeight="false" outlineLevel="0" collapsed="false">
      <c r="A414" s="2" t="s">
        <v>333</v>
      </c>
      <c r="B414" s="2" t="s">
        <v>65</v>
      </c>
      <c r="C414" s="2" t="s">
        <v>200</v>
      </c>
      <c r="D414" s="2" t="s">
        <v>40</v>
      </c>
      <c r="E414" s="2" t="n">
        <v>30</v>
      </c>
      <c r="F414" s="2" t="s">
        <v>338</v>
      </c>
      <c r="G414" s="2" t="s">
        <v>339</v>
      </c>
      <c r="H414" s="8" t="n">
        <v>20599</v>
      </c>
      <c r="I414" s="8" t="n">
        <v>55930</v>
      </c>
      <c r="J414" s="9" t="n">
        <f aca="false">H414/I414</f>
        <v>0.368299660289648</v>
      </c>
      <c r="K414" s="10" t="n">
        <v>0.258</v>
      </c>
      <c r="L414" s="8" t="n">
        <v>18607</v>
      </c>
      <c r="M414" s="9" t="n">
        <f aca="false">L414/I414</f>
        <v>0.332683711782585</v>
      </c>
      <c r="N414" s="8" t="n">
        <v>20961</v>
      </c>
      <c r="O414" s="2" t="n">
        <v>0.63</v>
      </c>
      <c r="P414" s="2" t="n">
        <v>0.31</v>
      </c>
      <c r="Q414" s="10" t="n">
        <f aca="false">L414/H414-1</f>
        <v>-0.0967037234817224</v>
      </c>
      <c r="R414" s="10" t="n">
        <f aca="false">ABS(Q414)</f>
        <v>0.0967037234817224</v>
      </c>
      <c r="S414" s="2" t="s">
        <v>43</v>
      </c>
      <c r="T414" s="2" t="n">
        <v>0.37</v>
      </c>
      <c r="U414" s="2" t="n">
        <v>0.967</v>
      </c>
    </row>
    <row r="415" customFormat="false" ht="15" hidden="false" customHeight="false" outlineLevel="0" collapsed="false">
      <c r="A415" s="2" t="s">
        <v>333</v>
      </c>
      <c r="B415" s="2" t="s">
        <v>66</v>
      </c>
      <c r="C415" s="2" t="s">
        <v>200</v>
      </c>
      <c r="D415" s="2" t="s">
        <v>40</v>
      </c>
      <c r="E415" s="2" t="n">
        <v>31</v>
      </c>
      <c r="F415" s="2" t="s">
        <v>340</v>
      </c>
      <c r="G415" s="2" t="s">
        <v>341</v>
      </c>
      <c r="H415" s="8" t="n">
        <v>23154</v>
      </c>
      <c r="I415" s="8" t="n">
        <v>72648</v>
      </c>
      <c r="J415" s="9" t="n">
        <f aca="false">H415/I415</f>
        <v>0.318714899240172</v>
      </c>
      <c r="K415" s="10" t="n">
        <v>0.211</v>
      </c>
      <c r="L415" s="8" t="n">
        <v>23769</v>
      </c>
      <c r="M415" s="9" t="n">
        <f aca="false">L415/I415</f>
        <v>0.327180376610506</v>
      </c>
      <c r="N415" s="8" t="n">
        <v>23883</v>
      </c>
      <c r="O415" s="2" t="n">
        <v>0.72</v>
      </c>
      <c r="P415" s="2" t="n">
        <v>0.43</v>
      </c>
      <c r="Q415" s="10" t="n">
        <f aca="false">L415/H415-1</f>
        <v>0.0265612853070745</v>
      </c>
      <c r="R415" s="10" t="n">
        <f aca="false">ABS(Q415)</f>
        <v>0.0265612853070745</v>
      </c>
      <c r="S415" s="2" t="s">
        <v>43</v>
      </c>
      <c r="T415" s="2" t="n">
        <v>0.35</v>
      </c>
      <c r="U415" s="2" t="n">
        <v>0.98</v>
      </c>
    </row>
    <row r="416" customFormat="false" ht="15" hidden="false" customHeight="false" outlineLevel="0" collapsed="false">
      <c r="A416" s="2" t="s">
        <v>333</v>
      </c>
      <c r="B416" s="2" t="s">
        <v>68</v>
      </c>
      <c r="C416" s="2" t="s">
        <v>200</v>
      </c>
      <c r="D416" s="2" t="s">
        <v>40</v>
      </c>
      <c r="E416" s="2" t="n">
        <v>30</v>
      </c>
      <c r="F416" s="2" t="s">
        <v>342</v>
      </c>
      <c r="G416" s="2" t="s">
        <v>343</v>
      </c>
      <c r="H416" s="8" t="n">
        <v>68695</v>
      </c>
      <c r="I416" s="8" t="n">
        <v>245832</v>
      </c>
      <c r="J416" s="9" t="n">
        <f aca="false">H416/I416</f>
        <v>0.279438803735885</v>
      </c>
      <c r="K416" s="10" t="n">
        <v>0.068</v>
      </c>
      <c r="L416" s="8" t="n">
        <v>72657</v>
      </c>
      <c r="M416" s="9" t="n">
        <f aca="false">L416/I416</f>
        <v>0.295555501317973</v>
      </c>
      <c r="N416" s="8" t="n">
        <v>73531</v>
      </c>
      <c r="O416" s="2" t="n">
        <v>0.72</v>
      </c>
      <c r="P416" s="2" t="n">
        <v>0.43</v>
      </c>
      <c r="Q416" s="10" t="n">
        <f aca="false">L416/H416-1</f>
        <v>0.0576752310939661</v>
      </c>
      <c r="R416" s="10" t="n">
        <f aca="false">ABS(Q416)</f>
        <v>0.0576752310939661</v>
      </c>
      <c r="S416" s="2" t="s">
        <v>43</v>
      </c>
      <c r="T416" s="2" t="n">
        <v>0.58</v>
      </c>
      <c r="U416" s="2" t="n">
        <v>1.014</v>
      </c>
    </row>
    <row r="417" customFormat="false" ht="15" hidden="false" customHeight="false" outlineLevel="0" collapsed="false">
      <c r="A417" s="2" t="s">
        <v>344</v>
      </c>
      <c r="B417" s="2" t="s">
        <v>50</v>
      </c>
      <c r="C417" s="2" t="s">
        <v>200</v>
      </c>
      <c r="D417" s="2" t="s">
        <v>40</v>
      </c>
      <c r="E417" s="2" t="n">
        <v>30</v>
      </c>
      <c r="F417" s="2" t="s">
        <v>345</v>
      </c>
      <c r="G417" s="2" t="s">
        <v>346</v>
      </c>
      <c r="H417" s="8" t="n">
        <v>37207</v>
      </c>
      <c r="I417" s="8" t="n">
        <v>96115</v>
      </c>
      <c r="J417" s="9" t="n">
        <f aca="false">H417/I417</f>
        <v>0.387109192113614</v>
      </c>
      <c r="K417" s="10" t="n">
        <v>0</v>
      </c>
      <c r="L417" s="8" t="n">
        <v>31754</v>
      </c>
      <c r="M417" s="9" t="n">
        <f aca="false">L417/I417</f>
        <v>0.330375071528898</v>
      </c>
      <c r="N417" s="8" t="n">
        <v>30967</v>
      </c>
      <c r="O417" s="2" t="n">
        <v>0.45</v>
      </c>
      <c r="P417" s="2" t="n">
        <v>0.27</v>
      </c>
      <c r="Q417" s="10" t="n">
        <f aca="false">L417/H417-1</f>
        <v>-0.146558443303679</v>
      </c>
      <c r="R417" s="10" t="n">
        <f aca="false">ABS(Q417)</f>
        <v>0.146558443303679</v>
      </c>
      <c r="S417" s="2" t="s">
        <v>43</v>
      </c>
      <c r="T417" s="2" t="n">
        <v>0.29</v>
      </c>
      <c r="U417" s="2" t="n">
        <v>1.071</v>
      </c>
    </row>
    <row r="418" customFormat="false" ht="15" hidden="false" customHeight="false" outlineLevel="0" collapsed="false">
      <c r="A418" s="2" t="s">
        <v>344</v>
      </c>
      <c r="B418" s="2" t="s">
        <v>52</v>
      </c>
      <c r="C418" s="2" t="s">
        <v>200</v>
      </c>
      <c r="D418" s="2" t="s">
        <v>40</v>
      </c>
      <c r="E418" s="2" t="n">
        <v>30</v>
      </c>
      <c r="F418" s="2" t="s">
        <v>318</v>
      </c>
      <c r="G418" s="2" t="s">
        <v>347</v>
      </c>
      <c r="H418" s="8" t="n">
        <v>46558</v>
      </c>
      <c r="I418" s="8" t="n">
        <v>118168</v>
      </c>
      <c r="J418" s="9" t="n">
        <f aca="false">H418/I418</f>
        <v>0.393998375194638</v>
      </c>
      <c r="K418" s="10" t="n">
        <v>0</v>
      </c>
      <c r="L418" s="8" t="n">
        <v>37329</v>
      </c>
      <c r="M418" s="9" t="n">
        <f aca="false">L418/I418</f>
        <v>0.315897704962426</v>
      </c>
      <c r="N418" s="8" t="n">
        <v>37695</v>
      </c>
      <c r="O418" s="2" t="n">
        <v>0.63</v>
      </c>
      <c r="P418" s="2" t="n">
        <v>0.25</v>
      </c>
      <c r="Q418" s="10" t="n">
        <f aca="false">L418/H418-1</f>
        <v>-0.198225868808798</v>
      </c>
      <c r="R418" s="10" t="n">
        <f aca="false">ABS(Q418)</f>
        <v>0.198225868808798</v>
      </c>
      <c r="S418" s="2" t="s">
        <v>43</v>
      </c>
      <c r="T418" s="2" t="n">
        <v>0.35</v>
      </c>
      <c r="U418" s="2" t="n">
        <v>1.25</v>
      </c>
    </row>
    <row r="419" customFormat="false" ht="15" hidden="false" customHeight="false" outlineLevel="0" collapsed="false">
      <c r="A419" s="2" t="s">
        <v>344</v>
      </c>
      <c r="B419" s="2" t="s">
        <v>53</v>
      </c>
      <c r="C419" s="2" t="s">
        <v>200</v>
      </c>
      <c r="D419" s="2" t="s">
        <v>40</v>
      </c>
      <c r="E419" s="2" t="n">
        <v>31</v>
      </c>
      <c r="F419" s="2" t="s">
        <v>348</v>
      </c>
      <c r="G419" s="2" t="s">
        <v>347</v>
      </c>
      <c r="H419" s="8" t="n">
        <v>44292</v>
      </c>
      <c r="I419" s="8" t="n">
        <v>130141</v>
      </c>
      <c r="J419" s="9" t="n">
        <f aca="false">H419/I419</f>
        <v>0.340338555874014</v>
      </c>
      <c r="K419" s="10" t="n">
        <v>0.052</v>
      </c>
      <c r="L419" s="8" t="n">
        <v>40693</v>
      </c>
      <c r="M419" s="9" t="n">
        <f aca="false">L419/I419</f>
        <v>0.312683935116528</v>
      </c>
      <c r="N419" s="8" t="n">
        <v>40526</v>
      </c>
      <c r="O419" s="2" t="n">
        <v>0.63</v>
      </c>
      <c r="P419" s="2" t="n">
        <v>0.25</v>
      </c>
      <c r="Q419" s="10" t="n">
        <f aca="false">L419/H419-1</f>
        <v>-0.0812562087961709</v>
      </c>
      <c r="R419" s="10" t="n">
        <f aca="false">ABS(Q419)</f>
        <v>0.0812562087961709</v>
      </c>
      <c r="S419" s="2" t="s">
        <v>43</v>
      </c>
      <c r="T419" s="2" t="n">
        <v>0.4</v>
      </c>
      <c r="U419" s="2" t="n">
        <v>1.066</v>
      </c>
    </row>
    <row r="420" customFormat="false" ht="15" hidden="false" customHeight="false" outlineLevel="0" collapsed="false">
      <c r="A420" s="2" t="s">
        <v>344</v>
      </c>
      <c r="B420" s="2" t="s">
        <v>54</v>
      </c>
      <c r="C420" s="2" t="s">
        <v>200</v>
      </c>
      <c r="D420" s="2" t="s">
        <v>40</v>
      </c>
      <c r="E420" s="2" t="n">
        <v>30</v>
      </c>
      <c r="F420" s="2" t="s">
        <v>348</v>
      </c>
      <c r="G420" s="2" t="s">
        <v>347</v>
      </c>
      <c r="H420" s="8" t="n">
        <v>28703</v>
      </c>
      <c r="I420" s="8" t="n">
        <v>93122</v>
      </c>
      <c r="J420" s="9" t="n">
        <f aca="false">H420/I420</f>
        <v>0.30823006378729</v>
      </c>
      <c r="K420" s="10" t="n">
        <v>0.161</v>
      </c>
      <c r="L420" s="8" t="n">
        <v>29234</v>
      </c>
      <c r="M420" s="9" t="n">
        <f aca="false">L420/I420</f>
        <v>0.313932260905049</v>
      </c>
      <c r="N420" s="8" t="n">
        <v>28500</v>
      </c>
      <c r="O420" s="2" t="n">
        <v>0.63</v>
      </c>
      <c r="P420" s="2" t="n">
        <v>0.25</v>
      </c>
      <c r="Q420" s="10" t="n">
        <f aca="false">L420/H420-1</f>
        <v>0.0184998083823991</v>
      </c>
      <c r="R420" s="10" t="n">
        <f aca="false">ABS(Q420)</f>
        <v>0.0184998083823991</v>
      </c>
      <c r="S420" s="2" t="s">
        <v>43</v>
      </c>
      <c r="T420" s="2" t="n">
        <v>0.39</v>
      </c>
      <c r="U420" s="2" t="n">
        <v>1.25</v>
      </c>
    </row>
    <row r="421" customFormat="false" ht="15" hidden="false" customHeight="false" outlineLevel="0" collapsed="false">
      <c r="A421" s="2" t="s">
        <v>344</v>
      </c>
      <c r="B421" s="2" t="s">
        <v>57</v>
      </c>
      <c r="C421" s="2" t="s">
        <v>200</v>
      </c>
      <c r="D421" s="2" t="s">
        <v>40</v>
      </c>
      <c r="E421" s="2" t="n">
        <v>31</v>
      </c>
      <c r="F421" s="2" t="s">
        <v>349</v>
      </c>
      <c r="G421" s="2" t="s">
        <v>42</v>
      </c>
      <c r="H421" s="8" t="n">
        <v>29956</v>
      </c>
      <c r="I421" s="8" t="n">
        <v>81091</v>
      </c>
      <c r="J421" s="9" t="n">
        <f aca="false">H421/I421</f>
        <v>0.369412141914639</v>
      </c>
      <c r="K421" s="10" t="n">
        <v>0.165</v>
      </c>
      <c r="L421" s="8" t="n">
        <v>34404</v>
      </c>
      <c r="M421" s="9" t="n">
        <f aca="false">L421/I421</f>
        <v>0.424264098358634</v>
      </c>
      <c r="N421" s="8" t="n">
        <v>32453</v>
      </c>
      <c r="O421" s="2" t="n">
        <v>0.56</v>
      </c>
      <c r="P421" s="2" t="n">
        <v>0.31</v>
      </c>
      <c r="Q421" s="10" t="n">
        <f aca="false">L421/H421-1</f>
        <v>0.148484443850981</v>
      </c>
      <c r="R421" s="10" t="n">
        <f aca="false">ABS(Q421)</f>
        <v>0.148484443850981</v>
      </c>
      <c r="S421" s="2" t="s">
        <v>146</v>
      </c>
      <c r="T421" s="2" t="n">
        <v>0.3</v>
      </c>
      <c r="U421" s="2" t="n">
        <v>1.25</v>
      </c>
    </row>
    <row r="422" customFormat="false" ht="15" hidden="false" customHeight="false" outlineLevel="0" collapsed="false">
      <c r="A422" s="2" t="s">
        <v>344</v>
      </c>
      <c r="B422" s="2" t="s">
        <v>58</v>
      </c>
      <c r="C422" s="2" t="s">
        <v>200</v>
      </c>
      <c r="D422" s="2" t="s">
        <v>40</v>
      </c>
      <c r="E422" s="2" t="n">
        <v>30</v>
      </c>
      <c r="F422" s="2" t="s">
        <v>350</v>
      </c>
      <c r="G422" s="2" t="s">
        <v>347</v>
      </c>
      <c r="H422" s="8" t="n">
        <v>27447</v>
      </c>
      <c r="I422" s="8" t="n">
        <v>62770</v>
      </c>
      <c r="J422" s="9" t="n">
        <f aca="false">H422/I422</f>
        <v>0.437263023737454</v>
      </c>
      <c r="K422" s="10" t="n">
        <v>0.153</v>
      </c>
      <c r="L422" s="8" t="n">
        <v>19921</v>
      </c>
      <c r="M422" s="9" t="n">
        <f aca="false">L422/I422</f>
        <v>0.317364983272264</v>
      </c>
      <c r="N422" s="8" t="n">
        <v>21200</v>
      </c>
      <c r="O422" s="2" t="n">
        <v>0.56</v>
      </c>
      <c r="P422" s="2" t="n">
        <v>0.31</v>
      </c>
      <c r="Q422" s="10" t="n">
        <f aca="false">L422/H422-1</f>
        <v>-0.274201187743651</v>
      </c>
      <c r="R422" s="10" t="n">
        <f aca="false">ABS(Q422)</f>
        <v>0.274201187743651</v>
      </c>
      <c r="S422" s="2" t="s">
        <v>146</v>
      </c>
      <c r="T422" s="2" t="n">
        <v>0.36</v>
      </c>
      <c r="U422" s="2" t="n">
        <v>1.25</v>
      </c>
    </row>
    <row r="423" customFormat="false" ht="15" hidden="false" customHeight="false" outlineLevel="0" collapsed="false">
      <c r="A423" s="2" t="s">
        <v>344</v>
      </c>
      <c r="B423" s="2" t="s">
        <v>59</v>
      </c>
      <c r="C423" s="2" t="s">
        <v>200</v>
      </c>
      <c r="D423" s="2" t="s">
        <v>40</v>
      </c>
      <c r="E423" s="2" t="n">
        <v>31</v>
      </c>
      <c r="F423" s="2" t="s">
        <v>351</v>
      </c>
      <c r="G423" s="2" t="s">
        <v>347</v>
      </c>
      <c r="H423" s="8" t="n">
        <v>23228</v>
      </c>
      <c r="I423" s="8" t="n">
        <v>57079</v>
      </c>
      <c r="J423" s="9" t="n">
        <f aca="false">H423/I423</f>
        <v>0.406944760770161</v>
      </c>
      <c r="K423" s="10" t="n">
        <v>0.152</v>
      </c>
      <c r="L423" s="8" t="n">
        <v>20715</v>
      </c>
      <c r="M423" s="9" t="n">
        <f aca="false">L423/I423</f>
        <v>0.362918060933093</v>
      </c>
      <c r="N423" s="8" t="n">
        <v>20103</v>
      </c>
      <c r="O423" s="2" t="n">
        <v>0.56</v>
      </c>
      <c r="P423" s="2" t="n">
        <v>0.31</v>
      </c>
      <c r="Q423" s="10" t="n">
        <f aca="false">L423/H423-1</f>
        <v>-0.108188393318409</v>
      </c>
      <c r="R423" s="10" t="n">
        <f aca="false">ABS(Q423)</f>
        <v>0.108188393318409</v>
      </c>
      <c r="S423" s="2" t="s">
        <v>146</v>
      </c>
      <c r="T423" s="2" t="n">
        <v>0.21</v>
      </c>
      <c r="U423" s="2" t="n">
        <v>1.11</v>
      </c>
    </row>
    <row r="424" customFormat="false" ht="15" hidden="false" customHeight="false" outlineLevel="0" collapsed="false">
      <c r="A424" s="2" t="s">
        <v>344</v>
      </c>
      <c r="B424" s="2" t="s">
        <v>60</v>
      </c>
      <c r="C424" s="2" t="s">
        <v>200</v>
      </c>
      <c r="D424" s="2" t="s">
        <v>40</v>
      </c>
      <c r="E424" s="2" t="n">
        <v>31</v>
      </c>
      <c r="F424" s="2" t="s">
        <v>348</v>
      </c>
      <c r="G424" s="2" t="s">
        <v>347</v>
      </c>
      <c r="H424" s="8" t="n">
        <v>18635</v>
      </c>
      <c r="I424" s="8" t="n">
        <v>58308</v>
      </c>
      <c r="J424" s="9" t="n">
        <f aca="false">H424/I424</f>
        <v>0.319595938807711</v>
      </c>
      <c r="K424" s="10" t="n">
        <v>0.161</v>
      </c>
      <c r="L424" s="8" t="n">
        <v>18940</v>
      </c>
      <c r="M424" s="9" t="n">
        <f aca="false">L424/I424</f>
        <v>0.324826781916718</v>
      </c>
      <c r="N424" s="8" t="n">
        <v>19068</v>
      </c>
      <c r="O424" s="2" t="n">
        <v>0.56</v>
      </c>
      <c r="P424" s="2" t="n">
        <v>0.31</v>
      </c>
      <c r="Q424" s="10" t="n">
        <f aca="false">L424/H424-1</f>
        <v>0.0163670512476524</v>
      </c>
      <c r="R424" s="10" t="n">
        <f aca="false">ABS(Q424)</f>
        <v>0.0163670512476524</v>
      </c>
      <c r="S424" s="2" t="s">
        <v>146</v>
      </c>
      <c r="T424" s="2" t="n">
        <v>0.3</v>
      </c>
      <c r="U424" s="2" t="n">
        <v>1.098</v>
      </c>
    </row>
    <row r="425" customFormat="false" ht="15" hidden="false" customHeight="false" outlineLevel="0" collapsed="false">
      <c r="A425" s="2" t="s">
        <v>344</v>
      </c>
      <c r="B425" s="2" t="s">
        <v>61</v>
      </c>
      <c r="C425" s="2" t="s">
        <v>200</v>
      </c>
      <c r="D425" s="2" t="s">
        <v>40</v>
      </c>
      <c r="E425" s="2" t="n">
        <v>28</v>
      </c>
      <c r="F425" s="2" t="s">
        <v>348</v>
      </c>
      <c r="G425" s="2" t="s">
        <v>347</v>
      </c>
      <c r="H425" s="8" t="n">
        <v>17761</v>
      </c>
      <c r="I425" s="8" t="n">
        <v>55933</v>
      </c>
      <c r="J425" s="9" t="n">
        <f aca="false">H425/I425</f>
        <v>0.3175406289668</v>
      </c>
      <c r="K425" s="10" t="n">
        <v>0.181</v>
      </c>
      <c r="L425" s="8" t="n">
        <v>17639</v>
      </c>
      <c r="M425" s="9" t="n">
        <f aca="false">L425/I425</f>
        <v>0.315359447910893</v>
      </c>
      <c r="N425" s="8" t="n">
        <v>17623</v>
      </c>
      <c r="O425" s="2" t="n">
        <v>0.56</v>
      </c>
      <c r="P425" s="2" t="n">
        <v>0.31</v>
      </c>
      <c r="Q425" s="10" t="n">
        <f aca="false">L425/H425-1</f>
        <v>-0.00686898260233093</v>
      </c>
      <c r="R425" s="10" t="n">
        <f aca="false">ABS(Q425)</f>
        <v>0.00686898260233093</v>
      </c>
      <c r="S425" s="2" t="s">
        <v>146</v>
      </c>
      <c r="T425" s="2" t="n">
        <v>0.34</v>
      </c>
      <c r="U425" s="2" t="n">
        <v>1.123</v>
      </c>
    </row>
    <row r="426" customFormat="false" ht="15" hidden="false" customHeight="false" outlineLevel="0" collapsed="false">
      <c r="A426" s="2" t="s">
        <v>344</v>
      </c>
      <c r="B426" s="2" t="s">
        <v>62</v>
      </c>
      <c r="C426" s="2" t="s">
        <v>200</v>
      </c>
      <c r="D426" s="2" t="s">
        <v>40</v>
      </c>
      <c r="E426" s="2" t="n">
        <v>31</v>
      </c>
      <c r="F426" s="2" t="s">
        <v>348</v>
      </c>
      <c r="G426" s="2" t="s">
        <v>347</v>
      </c>
      <c r="H426" s="8" t="n">
        <v>20423</v>
      </c>
      <c r="I426" s="8" t="n">
        <v>67629</v>
      </c>
      <c r="J426" s="9" t="n">
        <f aca="false">H426/I426</f>
        <v>0.301985834479291</v>
      </c>
      <c r="K426" s="10" t="n">
        <v>0.168</v>
      </c>
      <c r="L426" s="8" t="n">
        <v>21218</v>
      </c>
      <c r="M426" s="9" t="n">
        <f aca="false">L426/I426</f>
        <v>0.313741146549557</v>
      </c>
      <c r="N426" s="8" t="n">
        <v>21080</v>
      </c>
      <c r="O426" s="2" t="n">
        <v>0.56</v>
      </c>
      <c r="P426" s="2" t="n">
        <v>0.31</v>
      </c>
      <c r="Q426" s="10" t="n">
        <f aca="false">L426/H426-1</f>
        <v>0.03892670028889</v>
      </c>
      <c r="R426" s="10" t="n">
        <f aca="false">ABS(Q426)</f>
        <v>0.03892670028889</v>
      </c>
      <c r="S426" s="2" t="s">
        <v>146</v>
      </c>
      <c r="T426" s="2" t="n">
        <v>0.36</v>
      </c>
      <c r="U426" s="2" t="n">
        <v>1.25</v>
      </c>
    </row>
    <row r="427" customFormat="false" ht="15" hidden="false" customHeight="false" outlineLevel="0" collapsed="false">
      <c r="A427" s="2" t="s">
        <v>344</v>
      </c>
      <c r="B427" s="2" t="s">
        <v>63</v>
      </c>
      <c r="C427" s="2" t="s">
        <v>200</v>
      </c>
      <c r="D427" s="2" t="s">
        <v>40</v>
      </c>
      <c r="E427" s="2" t="n">
        <v>30</v>
      </c>
      <c r="F427" s="2" t="s">
        <v>348</v>
      </c>
      <c r="G427" s="2" t="s">
        <v>347</v>
      </c>
      <c r="H427" s="8" t="n">
        <v>16889</v>
      </c>
      <c r="I427" s="8" t="n">
        <v>54779</v>
      </c>
      <c r="J427" s="9" t="n">
        <f aca="false">H427/I427</f>
        <v>0.308311579254824</v>
      </c>
      <c r="K427" s="10" t="n">
        <v>0.215</v>
      </c>
      <c r="L427" s="8" t="n">
        <v>17714</v>
      </c>
      <c r="M427" s="9" t="n">
        <f aca="false">L427/I427</f>
        <v>0.32337209514595</v>
      </c>
      <c r="N427" s="8" t="n">
        <v>17697</v>
      </c>
      <c r="O427" s="2" t="n">
        <v>0.56</v>
      </c>
      <c r="P427" s="2" t="n">
        <v>0.31</v>
      </c>
      <c r="Q427" s="10" t="n">
        <f aca="false">L427/H427-1</f>
        <v>0.0488483628397181</v>
      </c>
      <c r="R427" s="10" t="n">
        <f aca="false">ABS(Q427)</f>
        <v>0.0488483628397181</v>
      </c>
      <c r="S427" s="2" t="s">
        <v>43</v>
      </c>
      <c r="T427" s="2" t="n">
        <v>0.3</v>
      </c>
      <c r="U427" s="2" t="n">
        <v>1.187</v>
      </c>
    </row>
    <row r="428" customFormat="false" ht="15" hidden="false" customHeight="false" outlineLevel="0" collapsed="false">
      <c r="A428" s="2" t="s">
        <v>344</v>
      </c>
      <c r="B428" s="2" t="s">
        <v>64</v>
      </c>
      <c r="C428" s="2" t="s">
        <v>200</v>
      </c>
      <c r="D428" s="2" t="s">
        <v>40</v>
      </c>
      <c r="E428" s="2" t="n">
        <v>31</v>
      </c>
      <c r="F428" s="2" t="s">
        <v>348</v>
      </c>
      <c r="G428" s="2" t="s">
        <v>347</v>
      </c>
      <c r="H428" s="8" t="n">
        <v>21997</v>
      </c>
      <c r="I428" s="8" t="n">
        <v>73583</v>
      </c>
      <c r="J428" s="9" t="n">
        <f aca="false">H428/I428</f>
        <v>0.298941331557561</v>
      </c>
      <c r="K428" s="10" t="n">
        <v>0.242</v>
      </c>
      <c r="L428" s="8" t="n">
        <v>23488</v>
      </c>
      <c r="M428" s="9" t="n">
        <f aca="false">L428/I428</f>
        <v>0.319204164005273</v>
      </c>
      <c r="N428" s="8" t="n">
        <v>22614</v>
      </c>
      <c r="O428" s="2" t="n">
        <v>0.56</v>
      </c>
      <c r="P428" s="2" t="n">
        <v>0.31</v>
      </c>
      <c r="Q428" s="10" t="n">
        <f aca="false">L428/H428-1</f>
        <v>0.0677819702686731</v>
      </c>
      <c r="R428" s="10" t="n">
        <f aca="false">ABS(Q428)</f>
        <v>0.0677819702686731</v>
      </c>
      <c r="S428" s="2" t="s">
        <v>43</v>
      </c>
      <c r="T428" s="2" t="n">
        <v>0.33</v>
      </c>
      <c r="U428" s="2" t="n">
        <v>1.25</v>
      </c>
    </row>
    <row r="429" customFormat="false" ht="15" hidden="false" customHeight="false" outlineLevel="0" collapsed="false">
      <c r="A429" s="2" t="s">
        <v>344</v>
      </c>
      <c r="B429" s="2" t="s">
        <v>65</v>
      </c>
      <c r="C429" s="2" t="s">
        <v>200</v>
      </c>
      <c r="D429" s="2" t="s">
        <v>40</v>
      </c>
      <c r="E429" s="2" t="n">
        <v>30</v>
      </c>
      <c r="F429" s="2" t="s">
        <v>318</v>
      </c>
      <c r="G429" s="2" t="s">
        <v>347</v>
      </c>
      <c r="H429" s="8" t="n">
        <v>25113</v>
      </c>
      <c r="I429" s="8" t="n">
        <v>77478</v>
      </c>
      <c r="J429" s="9" t="n">
        <f aca="false">H429/I429</f>
        <v>0.324130720978859</v>
      </c>
      <c r="K429" s="10" t="n">
        <v>0.212</v>
      </c>
      <c r="L429" s="8" t="n">
        <v>26038</v>
      </c>
      <c r="M429" s="9" t="n">
        <f aca="false">L429/I429</f>
        <v>0.33606959394925</v>
      </c>
      <c r="N429" s="8" t="n">
        <v>25574</v>
      </c>
      <c r="O429" s="2" t="n">
        <v>0.56</v>
      </c>
      <c r="P429" s="2" t="n">
        <v>0.31</v>
      </c>
      <c r="Q429" s="10" t="n">
        <f aca="false">L429/H429-1</f>
        <v>0.0368335125233943</v>
      </c>
      <c r="R429" s="10" t="n">
        <f aca="false">ABS(Q429)</f>
        <v>0.0368335125233943</v>
      </c>
      <c r="S429" s="2" t="s">
        <v>43</v>
      </c>
      <c r="T429" s="2" t="n">
        <v>0.27</v>
      </c>
      <c r="U429" s="2" t="n">
        <v>0.957</v>
      </c>
    </row>
    <row r="430" customFormat="false" ht="15" hidden="false" customHeight="false" outlineLevel="0" collapsed="false">
      <c r="A430" s="2" t="s">
        <v>344</v>
      </c>
      <c r="B430" s="2" t="s">
        <v>66</v>
      </c>
      <c r="C430" s="2" t="s">
        <v>200</v>
      </c>
      <c r="D430" s="2" t="s">
        <v>40</v>
      </c>
      <c r="E430" s="2" t="n">
        <v>31</v>
      </c>
      <c r="F430" s="2" t="s">
        <v>352</v>
      </c>
      <c r="G430" s="2" t="s">
        <v>347</v>
      </c>
      <c r="H430" s="8" t="n">
        <v>35197</v>
      </c>
      <c r="I430" s="8" t="n">
        <v>106862</v>
      </c>
      <c r="J430" s="9" t="n">
        <f aca="false">H430/I430</f>
        <v>0.329368718534184</v>
      </c>
      <c r="K430" s="10" t="n">
        <v>0.164</v>
      </c>
      <c r="L430" s="8" t="n">
        <v>35415</v>
      </c>
      <c r="M430" s="9" t="n">
        <f aca="false">L430/I430</f>
        <v>0.331408732758137</v>
      </c>
      <c r="N430" s="8" t="n">
        <v>34262</v>
      </c>
      <c r="O430" s="2" t="n">
        <v>0.45</v>
      </c>
      <c r="P430" s="2" t="n">
        <v>0.31</v>
      </c>
      <c r="Q430" s="10" t="n">
        <f aca="false">L430/H430-1</f>
        <v>0.00619370969116684</v>
      </c>
      <c r="R430" s="10" t="n">
        <f aca="false">ABS(Q430)</f>
        <v>0.00619370969116684</v>
      </c>
      <c r="S430" s="2" t="s">
        <v>43</v>
      </c>
      <c r="T430" s="2" t="n">
        <v>0.32</v>
      </c>
      <c r="U430" s="2" t="n">
        <v>0.942</v>
      </c>
    </row>
    <row r="431" customFormat="false" ht="15" hidden="false" customHeight="false" outlineLevel="0" collapsed="false">
      <c r="A431" s="2" t="s">
        <v>344</v>
      </c>
      <c r="B431" s="2" t="s">
        <v>67</v>
      </c>
      <c r="C431" s="2" t="s">
        <v>200</v>
      </c>
      <c r="D431" s="2" t="s">
        <v>40</v>
      </c>
      <c r="E431" s="2" t="n">
        <v>31</v>
      </c>
      <c r="F431" s="2" t="s">
        <v>318</v>
      </c>
      <c r="G431" s="2" t="s">
        <v>347</v>
      </c>
      <c r="H431" s="8" t="n">
        <v>42020</v>
      </c>
      <c r="I431" s="8" t="n">
        <v>129610</v>
      </c>
      <c r="J431" s="9" t="n">
        <f aca="false">H431/I431</f>
        <v>0.324203379368876</v>
      </c>
      <c r="K431" s="10" t="n">
        <v>0.12</v>
      </c>
      <c r="L431" s="8" t="n">
        <v>40992</v>
      </c>
      <c r="M431" s="9" t="n">
        <f aca="false">L431/I431</f>
        <v>0.31627189260088</v>
      </c>
      <c r="N431" s="8" t="n">
        <v>40939</v>
      </c>
      <c r="O431" s="2" t="n">
        <v>0.45</v>
      </c>
      <c r="P431" s="2" t="n">
        <v>0.31</v>
      </c>
      <c r="Q431" s="10" t="n">
        <f aca="false">L431/H431-1</f>
        <v>-0.0244645406949072</v>
      </c>
      <c r="R431" s="10" t="n">
        <f aca="false">ABS(Q431)</f>
        <v>0.0244645406949072</v>
      </c>
      <c r="S431" s="2" t="s">
        <v>43</v>
      </c>
      <c r="T431" s="2" t="n">
        <v>0.34</v>
      </c>
      <c r="U431" s="2" t="n">
        <v>0.993</v>
      </c>
    </row>
    <row r="432" customFormat="false" ht="15" hidden="false" customHeight="false" outlineLevel="0" collapsed="false">
      <c r="A432" s="2" t="s">
        <v>344</v>
      </c>
      <c r="B432" s="2" t="s">
        <v>68</v>
      </c>
      <c r="C432" s="2" t="s">
        <v>200</v>
      </c>
      <c r="D432" s="2" t="s">
        <v>40</v>
      </c>
      <c r="E432" s="2" t="n">
        <v>30</v>
      </c>
      <c r="F432" s="2" t="s">
        <v>318</v>
      </c>
      <c r="G432" s="2" t="s">
        <v>347</v>
      </c>
      <c r="H432" s="8" t="n">
        <v>39012</v>
      </c>
      <c r="I432" s="8" t="n">
        <v>118133</v>
      </c>
      <c r="J432" s="9" t="n">
        <f aca="false">H432/I432</f>
        <v>0.330237952138691</v>
      </c>
      <c r="K432" s="10" t="n">
        <v>0.128</v>
      </c>
      <c r="L432" s="8" t="n">
        <v>37327</v>
      </c>
      <c r="M432" s="9" t="n">
        <f aca="false">L432/I432</f>
        <v>0.315974367873499</v>
      </c>
      <c r="N432" s="8" t="n">
        <v>37628</v>
      </c>
      <c r="O432" s="2" t="n">
        <v>0.45</v>
      </c>
      <c r="P432" s="2" t="n">
        <v>0.31</v>
      </c>
      <c r="Q432" s="10" t="n">
        <f aca="false">L432/H432-1</f>
        <v>-0.0431918384086948</v>
      </c>
      <c r="R432" s="10" t="n">
        <f aca="false">ABS(Q432)</f>
        <v>0.0431918384086948</v>
      </c>
      <c r="S432" s="2" t="s">
        <v>43</v>
      </c>
      <c r="T432" s="2" t="n">
        <v>0.34</v>
      </c>
      <c r="U432" s="2" t="n">
        <v>0.953</v>
      </c>
    </row>
    <row r="433" customFormat="false" ht="15" hidden="false" customHeight="false" outlineLevel="0" collapsed="false">
      <c r="A433" s="2" t="s">
        <v>353</v>
      </c>
      <c r="B433" s="2" t="s">
        <v>48</v>
      </c>
      <c r="C433" s="2" t="s">
        <v>200</v>
      </c>
      <c r="D433" s="2" t="s">
        <v>40</v>
      </c>
      <c r="E433" s="2" t="n">
        <v>30</v>
      </c>
      <c r="F433" s="2" t="s">
        <v>163</v>
      </c>
      <c r="G433" s="2" t="s">
        <v>164</v>
      </c>
      <c r="H433" s="8" t="n">
        <v>219462</v>
      </c>
      <c r="I433" s="8" t="n">
        <v>763281</v>
      </c>
      <c r="J433" s="9" t="n">
        <f aca="false">H433/I433</f>
        <v>0.287524515872922</v>
      </c>
      <c r="K433" s="10" t="n">
        <v>0</v>
      </c>
      <c r="L433" s="8" t="n">
        <v>226914</v>
      </c>
      <c r="M433" s="9" t="n">
        <f aca="false">L433/I433</f>
        <v>0.297287630636686</v>
      </c>
      <c r="N433" s="8" t="n">
        <v>225442</v>
      </c>
      <c r="O433" s="2" t="n">
        <v>0.75</v>
      </c>
      <c r="P433" s="2" t="n">
        <v>0.37</v>
      </c>
      <c r="Q433" s="10" t="n">
        <f aca="false">L433/H433-1</f>
        <v>0.0339557645514941</v>
      </c>
      <c r="R433" s="10" t="n">
        <f aca="false">ABS(Q433)</f>
        <v>0.0339557645514941</v>
      </c>
      <c r="S433" s="2" t="s">
        <v>43</v>
      </c>
      <c r="T433" s="2" t="n">
        <v>0.53</v>
      </c>
      <c r="U433" s="2" t="n">
        <v>1.113</v>
      </c>
    </row>
    <row r="434" customFormat="false" ht="15" hidden="false" customHeight="false" outlineLevel="0" collapsed="false">
      <c r="A434" s="2" t="s">
        <v>353</v>
      </c>
      <c r="B434" s="2" t="s">
        <v>76</v>
      </c>
      <c r="C434" s="2" t="s">
        <v>200</v>
      </c>
      <c r="D434" s="2" t="s">
        <v>40</v>
      </c>
      <c r="E434" s="2" t="n">
        <v>31</v>
      </c>
      <c r="F434" s="2" t="s">
        <v>163</v>
      </c>
      <c r="G434" s="2" t="s">
        <v>164</v>
      </c>
      <c r="H434" s="8" t="n">
        <v>259823</v>
      </c>
      <c r="I434" s="8" t="n">
        <v>939444</v>
      </c>
      <c r="J434" s="9" t="n">
        <f aca="false">H434/I434</f>
        <v>0.276571035633843</v>
      </c>
      <c r="K434" s="10" t="n">
        <v>0</v>
      </c>
      <c r="L434" s="8" t="n">
        <v>278633</v>
      </c>
      <c r="M434" s="9" t="n">
        <f aca="false">L434/I434</f>
        <v>0.296593517016448</v>
      </c>
      <c r="N434" s="8" t="n">
        <v>275892</v>
      </c>
      <c r="O434" s="2" t="n">
        <v>0.75</v>
      </c>
      <c r="P434" s="2" t="n">
        <v>0.37</v>
      </c>
      <c r="Q434" s="10" t="n">
        <f aca="false">L434/H434-1</f>
        <v>0.0723954384330872</v>
      </c>
      <c r="R434" s="10" t="n">
        <f aca="false">ABS(Q434)</f>
        <v>0.0723954384330872</v>
      </c>
      <c r="S434" s="2" t="s">
        <v>43</v>
      </c>
      <c r="T434" s="2" t="n">
        <v>0.54</v>
      </c>
      <c r="U434" s="2" t="n">
        <v>1.077</v>
      </c>
    </row>
    <row r="435" customFormat="false" ht="15" hidden="false" customHeight="false" outlineLevel="0" collapsed="false">
      <c r="A435" s="2" t="s">
        <v>353</v>
      </c>
      <c r="B435" s="2" t="s">
        <v>50</v>
      </c>
      <c r="C435" s="2" t="s">
        <v>200</v>
      </c>
      <c r="D435" s="2" t="s">
        <v>40</v>
      </c>
      <c r="E435" s="2" t="n">
        <v>30</v>
      </c>
      <c r="F435" s="2" t="s">
        <v>163</v>
      </c>
      <c r="G435" s="2" t="s">
        <v>164</v>
      </c>
      <c r="H435" s="8" t="n">
        <v>281594</v>
      </c>
      <c r="I435" s="8" t="n">
        <v>1002620</v>
      </c>
      <c r="J435" s="9" t="n">
        <f aca="false">H435/I435</f>
        <v>0.280858151642696</v>
      </c>
      <c r="K435" s="10" t="n">
        <v>0</v>
      </c>
      <c r="L435" s="8" t="n">
        <v>296523</v>
      </c>
      <c r="M435" s="9" t="n">
        <f aca="false">L435/I435</f>
        <v>0.295748139873531</v>
      </c>
      <c r="N435" s="8" t="n">
        <v>296543</v>
      </c>
      <c r="O435" s="2" t="n">
        <v>0.75</v>
      </c>
      <c r="P435" s="2" t="n">
        <v>0.37</v>
      </c>
      <c r="Q435" s="10" t="n">
        <f aca="false">L435/H435-1</f>
        <v>0.0530160443759455</v>
      </c>
      <c r="R435" s="10" t="n">
        <f aca="false">ABS(Q435)</f>
        <v>0.0530160443759455</v>
      </c>
      <c r="S435" s="2" t="s">
        <v>43</v>
      </c>
      <c r="T435" s="2" t="n">
        <v>0.55</v>
      </c>
      <c r="U435" s="2" t="n">
        <v>1.018</v>
      </c>
    </row>
    <row r="436" customFormat="false" ht="15" hidden="false" customHeight="false" outlineLevel="0" collapsed="false">
      <c r="A436" s="2" t="s">
        <v>353</v>
      </c>
      <c r="B436" s="2" t="s">
        <v>52</v>
      </c>
      <c r="C436" s="2" t="s">
        <v>200</v>
      </c>
      <c r="D436" s="2" t="s">
        <v>40</v>
      </c>
      <c r="E436" s="2" t="n">
        <v>31</v>
      </c>
      <c r="F436" s="2" t="s">
        <v>163</v>
      </c>
      <c r="G436" s="2" t="s">
        <v>164</v>
      </c>
      <c r="H436" s="8" t="n">
        <v>320538</v>
      </c>
      <c r="I436" s="8" t="n">
        <v>1139077</v>
      </c>
      <c r="J436" s="9" t="n">
        <f aca="false">H436/I436</f>
        <v>0.281401520704922</v>
      </c>
      <c r="K436" s="10" t="n">
        <v>0.039</v>
      </c>
      <c r="L436" s="8" t="n">
        <v>337397</v>
      </c>
      <c r="M436" s="9" t="n">
        <f aca="false">L436/I436</f>
        <v>0.296202100472576</v>
      </c>
      <c r="N436" s="8" t="n">
        <v>335332</v>
      </c>
      <c r="O436" s="2" t="n">
        <v>0.65</v>
      </c>
      <c r="P436" s="2" t="n">
        <v>0.46</v>
      </c>
      <c r="Q436" s="10" t="n">
        <f aca="false">L436/H436-1</f>
        <v>0.0525959480623202</v>
      </c>
      <c r="R436" s="10" t="n">
        <f aca="false">ABS(Q436)</f>
        <v>0.0525959480623202</v>
      </c>
      <c r="S436" s="2" t="s">
        <v>43</v>
      </c>
      <c r="T436" s="2" t="n">
        <v>0.53</v>
      </c>
      <c r="U436" s="2" t="n">
        <v>1.028</v>
      </c>
    </row>
    <row r="437" customFormat="false" ht="15" hidden="false" customHeight="false" outlineLevel="0" collapsed="false">
      <c r="A437" s="2" t="s">
        <v>353</v>
      </c>
      <c r="B437" s="2" t="s">
        <v>53</v>
      </c>
      <c r="C437" s="2" t="s">
        <v>200</v>
      </c>
      <c r="D437" s="2" t="s">
        <v>40</v>
      </c>
      <c r="E437" s="2" t="n">
        <v>31</v>
      </c>
      <c r="F437" s="2" t="s">
        <v>163</v>
      </c>
      <c r="G437" s="2" t="s">
        <v>164</v>
      </c>
      <c r="H437" s="8" t="n">
        <v>339042</v>
      </c>
      <c r="I437" s="8" t="n">
        <v>1201002</v>
      </c>
      <c r="J437" s="9" t="n">
        <f aca="false">H437/I437</f>
        <v>0.282299280101116</v>
      </c>
      <c r="K437" s="10" t="n">
        <v>0.104</v>
      </c>
      <c r="L437" s="8" t="n">
        <v>354995</v>
      </c>
      <c r="M437" s="9" t="n">
        <f aca="false">L437/I437</f>
        <v>0.295582355399908</v>
      </c>
      <c r="N437" s="8" t="n">
        <v>354784</v>
      </c>
      <c r="O437" s="2" t="n">
        <v>0.65</v>
      </c>
      <c r="P437" s="2" t="n">
        <v>0.46</v>
      </c>
      <c r="Q437" s="10" t="n">
        <f aca="false">L437/H437-1</f>
        <v>0.0470531674541796</v>
      </c>
      <c r="R437" s="10" t="n">
        <f aca="false">ABS(Q437)</f>
        <v>0.0470531674541796</v>
      </c>
      <c r="S437" s="2" t="s">
        <v>43</v>
      </c>
      <c r="T437" s="2" t="n">
        <v>0.54</v>
      </c>
      <c r="U437" s="2" t="n">
        <v>1.064</v>
      </c>
    </row>
    <row r="438" customFormat="false" ht="15" hidden="false" customHeight="false" outlineLevel="0" collapsed="false">
      <c r="A438" s="2" t="s">
        <v>353</v>
      </c>
      <c r="B438" s="2" t="s">
        <v>54</v>
      </c>
      <c r="C438" s="2" t="s">
        <v>200</v>
      </c>
      <c r="D438" s="2" t="s">
        <v>40</v>
      </c>
      <c r="E438" s="2" t="n">
        <v>30</v>
      </c>
      <c r="F438" s="2" t="s">
        <v>163</v>
      </c>
      <c r="G438" s="2" t="s">
        <v>164</v>
      </c>
      <c r="H438" s="8" t="n">
        <v>245987</v>
      </c>
      <c r="I438" s="8" t="n">
        <v>870613</v>
      </c>
      <c r="J438" s="9" t="n">
        <f aca="false">H438/I438</f>
        <v>0.282544597886776</v>
      </c>
      <c r="K438" s="10" t="n">
        <v>0.168</v>
      </c>
      <c r="L438" s="8" t="n">
        <v>258395</v>
      </c>
      <c r="M438" s="9" t="n">
        <f aca="false">L438/I438</f>
        <v>0.296796624906819</v>
      </c>
      <c r="N438" s="8" t="n">
        <v>258281</v>
      </c>
      <c r="O438" s="2" t="n">
        <v>0.65</v>
      </c>
      <c r="P438" s="2" t="n">
        <v>0.46</v>
      </c>
      <c r="Q438" s="10" t="n">
        <f aca="false">L438/H438-1</f>
        <v>0.0504416900080085</v>
      </c>
      <c r="R438" s="10" t="n">
        <f aca="false">ABS(Q438)</f>
        <v>0.0504416900080085</v>
      </c>
      <c r="S438" s="2" t="s">
        <v>43</v>
      </c>
      <c r="T438" s="2" t="n">
        <v>0.52</v>
      </c>
      <c r="U438" s="2" t="n">
        <v>0.956</v>
      </c>
    </row>
    <row r="439" customFormat="false" ht="15" hidden="false" customHeight="false" outlineLevel="0" collapsed="false">
      <c r="A439" s="2" t="s">
        <v>353</v>
      </c>
      <c r="B439" s="2" t="s">
        <v>57</v>
      </c>
      <c r="C439" s="2" t="s">
        <v>200</v>
      </c>
      <c r="D439" s="2" t="s">
        <v>40</v>
      </c>
      <c r="E439" s="2" t="n">
        <v>31</v>
      </c>
      <c r="F439" s="2" t="s">
        <v>163</v>
      </c>
      <c r="G439" s="2" t="s">
        <v>164</v>
      </c>
      <c r="H439" s="8" t="n">
        <v>170159</v>
      </c>
      <c r="I439" s="8" t="n">
        <v>597495</v>
      </c>
      <c r="J439" s="9" t="n">
        <f aca="false">H439/I439</f>
        <v>0.284787320395987</v>
      </c>
      <c r="K439" s="10" t="n">
        <v>0.247</v>
      </c>
      <c r="L439" s="8" t="n">
        <v>178906</v>
      </c>
      <c r="M439" s="9" t="n">
        <f aca="false">L439/I439</f>
        <v>0.299426773445803</v>
      </c>
      <c r="N439" s="8" t="n">
        <v>179748</v>
      </c>
      <c r="O439" s="2" t="n">
        <v>0.74</v>
      </c>
      <c r="P439" s="2" t="n">
        <v>0.36</v>
      </c>
      <c r="Q439" s="10" t="n">
        <f aca="false">L439/H439-1</f>
        <v>0.0514048625109456</v>
      </c>
      <c r="R439" s="10" t="n">
        <f aca="false">ABS(Q439)</f>
        <v>0.0514048625109456</v>
      </c>
      <c r="S439" s="2" t="s">
        <v>43</v>
      </c>
      <c r="T439" s="2" t="n">
        <v>0.5</v>
      </c>
      <c r="U439" s="2" t="n">
        <v>1.064</v>
      </c>
    </row>
    <row r="440" customFormat="false" ht="15" hidden="false" customHeight="false" outlineLevel="0" collapsed="false">
      <c r="A440" s="2" t="s">
        <v>353</v>
      </c>
      <c r="B440" s="2" t="s">
        <v>58</v>
      </c>
      <c r="C440" s="2" t="s">
        <v>200</v>
      </c>
      <c r="D440" s="2" t="s">
        <v>40</v>
      </c>
      <c r="E440" s="2" t="n">
        <v>30</v>
      </c>
      <c r="F440" s="2" t="s">
        <v>163</v>
      </c>
      <c r="G440" s="2" t="s">
        <v>164</v>
      </c>
      <c r="H440" s="8" t="n">
        <v>98414</v>
      </c>
      <c r="I440" s="8" t="n">
        <v>322694</v>
      </c>
      <c r="J440" s="9" t="n">
        <f aca="false">H440/I440</f>
        <v>0.304976231352303</v>
      </c>
      <c r="K440" s="10" t="n">
        <v>0.3</v>
      </c>
      <c r="L440" s="8" t="n">
        <v>100958</v>
      </c>
      <c r="M440" s="9" t="n">
        <f aca="false">L440/I440</f>
        <v>0.312859861044829</v>
      </c>
      <c r="N440" s="8" t="n">
        <v>101465</v>
      </c>
      <c r="O440" s="2" t="n">
        <v>0.74</v>
      </c>
      <c r="P440" s="2" t="n">
        <v>0.36</v>
      </c>
      <c r="Q440" s="10" t="n">
        <f aca="false">L440/H440-1</f>
        <v>0.0258499806938037</v>
      </c>
      <c r="R440" s="10" t="n">
        <f aca="false">ABS(Q440)</f>
        <v>0.0258499806938037</v>
      </c>
      <c r="S440" s="2" t="s">
        <v>43</v>
      </c>
      <c r="T440" s="2" t="n">
        <v>0.41</v>
      </c>
      <c r="U440" s="2" t="n">
        <v>0.995</v>
      </c>
    </row>
    <row r="441" customFormat="false" ht="15" hidden="false" customHeight="false" outlineLevel="0" collapsed="false">
      <c r="A441" s="2" t="s">
        <v>353</v>
      </c>
      <c r="B441" s="2" t="s">
        <v>59</v>
      </c>
      <c r="C441" s="2" t="s">
        <v>200</v>
      </c>
      <c r="D441" s="2" t="s">
        <v>40</v>
      </c>
      <c r="E441" s="2" t="n">
        <v>31</v>
      </c>
      <c r="F441" s="2" t="s">
        <v>354</v>
      </c>
      <c r="G441" s="2" t="s">
        <v>256</v>
      </c>
      <c r="H441" s="8" t="n">
        <v>68092</v>
      </c>
      <c r="I441" s="8" t="n">
        <v>234902</v>
      </c>
      <c r="J441" s="9" t="n">
        <f aca="false">H441/I441</f>
        <v>0.289874075146231</v>
      </c>
      <c r="K441" s="10" t="n">
        <v>0.304</v>
      </c>
      <c r="L441" s="8" t="n">
        <v>77476</v>
      </c>
      <c r="M441" s="9" t="n">
        <f aca="false">L441/I441</f>
        <v>0.329822649445301</v>
      </c>
      <c r="N441" s="8" t="n">
        <v>77113</v>
      </c>
      <c r="O441" s="2" t="n">
        <v>0.74</v>
      </c>
      <c r="P441" s="2" t="n">
        <v>0.36</v>
      </c>
      <c r="Q441" s="10" t="n">
        <f aca="false">L441/H441-1</f>
        <v>0.137813546378429</v>
      </c>
      <c r="R441" s="10" t="n">
        <f aca="false">ABS(Q441)</f>
        <v>0.137813546378429</v>
      </c>
      <c r="S441" s="2" t="s">
        <v>43</v>
      </c>
      <c r="T441" s="2" t="n">
        <v>0.34</v>
      </c>
      <c r="U441" s="2" t="n">
        <v>1.06</v>
      </c>
    </row>
    <row r="442" customFormat="false" ht="15" hidden="false" customHeight="false" outlineLevel="0" collapsed="false">
      <c r="A442" s="2" t="s">
        <v>353</v>
      </c>
      <c r="B442" s="2" t="s">
        <v>60</v>
      </c>
      <c r="C442" s="2" t="s">
        <v>200</v>
      </c>
      <c r="D442" s="2" t="s">
        <v>40</v>
      </c>
      <c r="E442" s="2" t="n">
        <v>31</v>
      </c>
      <c r="F442" s="2" t="s">
        <v>355</v>
      </c>
      <c r="G442" s="2" t="s">
        <v>256</v>
      </c>
      <c r="H442" s="8" t="n">
        <v>58834</v>
      </c>
      <c r="I442" s="8" t="n">
        <v>203415</v>
      </c>
      <c r="J442" s="9" t="n">
        <f aca="false">H442/I442</f>
        <v>0.289231374284099</v>
      </c>
      <c r="K442" s="10" t="n">
        <v>0.254</v>
      </c>
      <c r="L442" s="8" t="n">
        <v>60150</v>
      </c>
      <c r="M442" s="9" t="n">
        <f aca="false">L442/I442</f>
        <v>0.295700907012757</v>
      </c>
      <c r="N442" s="8" t="n">
        <v>62491</v>
      </c>
      <c r="O442" s="2" t="n">
        <v>0.79</v>
      </c>
      <c r="P442" s="2" t="n">
        <v>0.29</v>
      </c>
      <c r="Q442" s="10" t="n">
        <f aca="false">L442/H442-1</f>
        <v>0.0223680184927082</v>
      </c>
      <c r="R442" s="10" t="n">
        <f aca="false">ABS(Q442)</f>
        <v>0.0223680184927082</v>
      </c>
      <c r="S442" s="2" t="s">
        <v>43</v>
      </c>
      <c r="T442" s="2" t="n">
        <v>0.41</v>
      </c>
      <c r="U442" s="2" t="n">
        <v>1.048</v>
      </c>
    </row>
    <row r="443" customFormat="false" ht="15" hidden="false" customHeight="false" outlineLevel="0" collapsed="false">
      <c r="A443" s="2" t="s">
        <v>353</v>
      </c>
      <c r="B443" s="2" t="s">
        <v>61</v>
      </c>
      <c r="C443" s="2" t="s">
        <v>200</v>
      </c>
      <c r="D443" s="2" t="s">
        <v>40</v>
      </c>
      <c r="E443" s="2" t="n">
        <v>28</v>
      </c>
      <c r="F443" s="2" t="s">
        <v>356</v>
      </c>
      <c r="G443" s="2" t="s">
        <v>256</v>
      </c>
      <c r="H443" s="8" t="n">
        <v>66662</v>
      </c>
      <c r="I443" s="8" t="n">
        <v>233080</v>
      </c>
      <c r="J443" s="9" t="n">
        <f aca="false">H443/I443</f>
        <v>0.286004805217093</v>
      </c>
      <c r="K443" s="10" t="n">
        <v>0.326</v>
      </c>
      <c r="L443" s="8" t="n">
        <v>68974</v>
      </c>
      <c r="M443" s="9" t="n">
        <f aca="false">L443/I443</f>
        <v>0.295924146215892</v>
      </c>
      <c r="N443" s="8" t="n">
        <v>70117</v>
      </c>
      <c r="O443" s="2" t="n">
        <v>0.79</v>
      </c>
      <c r="P443" s="2" t="n">
        <v>0.29</v>
      </c>
      <c r="Q443" s="10" t="n">
        <f aca="false">L443/H443-1</f>
        <v>0.0346824277699438</v>
      </c>
      <c r="R443" s="10" t="n">
        <f aca="false">ABS(Q443)</f>
        <v>0.0346824277699438</v>
      </c>
      <c r="S443" s="2" t="s">
        <v>43</v>
      </c>
      <c r="T443" s="2" t="n">
        <v>0.43</v>
      </c>
      <c r="U443" s="2" t="n">
        <v>0.997</v>
      </c>
    </row>
    <row r="444" customFormat="false" ht="15" hidden="false" customHeight="false" outlineLevel="0" collapsed="false">
      <c r="A444" s="2" t="s">
        <v>353</v>
      </c>
      <c r="B444" s="2" t="s">
        <v>62</v>
      </c>
      <c r="C444" s="2" t="s">
        <v>200</v>
      </c>
      <c r="D444" s="2" t="s">
        <v>40</v>
      </c>
      <c r="E444" s="2" t="n">
        <v>31</v>
      </c>
      <c r="F444" s="2" t="s">
        <v>356</v>
      </c>
      <c r="G444" s="2" t="s">
        <v>256</v>
      </c>
      <c r="H444" s="8" t="n">
        <v>95358</v>
      </c>
      <c r="I444" s="8" t="n">
        <v>321081</v>
      </c>
      <c r="J444" s="9" t="n">
        <f aca="false">H444/I444</f>
        <v>0.296990479038</v>
      </c>
      <c r="K444" s="10" t="n">
        <v>0.298</v>
      </c>
      <c r="L444" s="8" t="n">
        <v>95218</v>
      </c>
      <c r="M444" s="9" t="n">
        <f aca="false">L444/I444</f>
        <v>0.296554451991865</v>
      </c>
      <c r="N444" s="8" t="n">
        <v>94272</v>
      </c>
      <c r="O444" s="2" t="n">
        <v>0.79</v>
      </c>
      <c r="P444" s="2" t="n">
        <v>0.29</v>
      </c>
      <c r="Q444" s="10" t="n">
        <f aca="false">L444/H444-1</f>
        <v>-0.0014681515971392</v>
      </c>
      <c r="R444" s="10" t="n">
        <f aca="false">ABS(Q444)</f>
        <v>0.0014681515971392</v>
      </c>
      <c r="S444" s="2" t="s">
        <v>43</v>
      </c>
      <c r="T444" s="2" t="n">
        <v>0.44</v>
      </c>
      <c r="U444" s="2" t="n">
        <v>1.25</v>
      </c>
    </row>
    <row r="445" customFormat="false" ht="15" hidden="false" customHeight="false" outlineLevel="0" collapsed="false">
      <c r="A445" s="2" t="s">
        <v>353</v>
      </c>
      <c r="B445" s="2" t="s">
        <v>63</v>
      </c>
      <c r="C445" s="2" t="s">
        <v>200</v>
      </c>
      <c r="D445" s="2" t="s">
        <v>40</v>
      </c>
      <c r="E445" s="2" t="n">
        <v>30</v>
      </c>
      <c r="F445" s="2" t="s">
        <v>355</v>
      </c>
      <c r="G445" s="2" t="s">
        <v>256</v>
      </c>
      <c r="H445" s="8" t="n">
        <v>90140</v>
      </c>
      <c r="I445" s="8" t="n">
        <v>315021</v>
      </c>
      <c r="J445" s="9" t="n">
        <f aca="false">H445/I445</f>
        <v>0.286139654181785</v>
      </c>
      <c r="K445" s="10" t="n">
        <v>0.351</v>
      </c>
      <c r="L445" s="8" t="n">
        <v>94523</v>
      </c>
      <c r="M445" s="9" t="n">
        <f aca="false">L445/I445</f>
        <v>0.30005301233886</v>
      </c>
      <c r="N445" s="8" t="n">
        <v>91237</v>
      </c>
      <c r="O445" s="2" t="n">
        <v>0.68</v>
      </c>
      <c r="P445" s="2" t="n">
        <v>0.34</v>
      </c>
      <c r="Q445" s="10" t="n">
        <f aca="false">L445/H445-1</f>
        <v>0.0486243621033948</v>
      </c>
      <c r="R445" s="10" t="n">
        <f aca="false">ABS(Q445)</f>
        <v>0.0486243621033948</v>
      </c>
      <c r="S445" s="2" t="s">
        <v>43</v>
      </c>
      <c r="T445" s="2" t="n">
        <v>0.41</v>
      </c>
      <c r="U445" s="2" t="n">
        <v>1.236</v>
      </c>
    </row>
    <row r="446" customFormat="false" ht="15" hidden="false" customHeight="false" outlineLevel="0" collapsed="false">
      <c r="A446" s="2" t="s">
        <v>353</v>
      </c>
      <c r="B446" s="2" t="s">
        <v>64</v>
      </c>
      <c r="C446" s="2" t="s">
        <v>200</v>
      </c>
      <c r="D446" s="2" t="s">
        <v>40</v>
      </c>
      <c r="E446" s="2" t="n">
        <v>31</v>
      </c>
      <c r="F446" s="2" t="s">
        <v>357</v>
      </c>
      <c r="G446" s="2" t="s">
        <v>256</v>
      </c>
      <c r="H446" s="8" t="n">
        <v>157463</v>
      </c>
      <c r="I446" s="8" t="n">
        <v>554499</v>
      </c>
      <c r="J446" s="9" t="n">
        <f aca="false">H446/I446</f>
        <v>0.283973460727612</v>
      </c>
      <c r="K446" s="10" t="n">
        <v>0.366</v>
      </c>
      <c r="L446" s="8" t="n">
        <v>169518</v>
      </c>
      <c r="M446" s="9" t="n">
        <f aca="false">L446/I446</f>
        <v>0.305713806517234</v>
      </c>
      <c r="N446" s="8" t="n">
        <v>168235</v>
      </c>
      <c r="O446" s="2" t="n">
        <v>0.68</v>
      </c>
      <c r="P446" s="2" t="n">
        <v>0.34</v>
      </c>
      <c r="Q446" s="10" t="n">
        <f aca="false">L446/H446-1</f>
        <v>0.0765576675155433</v>
      </c>
      <c r="R446" s="10" t="n">
        <f aca="false">ABS(Q446)</f>
        <v>0.0765576675155433</v>
      </c>
      <c r="S446" s="2" t="s">
        <v>43</v>
      </c>
      <c r="T446" s="2" t="n">
        <v>0.43</v>
      </c>
      <c r="U446" s="2" t="n">
        <v>1.021</v>
      </c>
    </row>
    <row r="447" customFormat="false" ht="15" hidden="false" customHeight="false" outlineLevel="0" collapsed="false">
      <c r="A447" s="2" t="s">
        <v>353</v>
      </c>
      <c r="B447" s="2" t="s">
        <v>65</v>
      </c>
      <c r="C447" s="2" t="s">
        <v>200</v>
      </c>
      <c r="D447" s="2" t="s">
        <v>40</v>
      </c>
      <c r="E447" s="2" t="n">
        <v>30</v>
      </c>
      <c r="F447" s="2" t="s">
        <v>165</v>
      </c>
      <c r="G447" s="2" t="s">
        <v>164</v>
      </c>
      <c r="H447" s="8" t="n">
        <v>186309</v>
      </c>
      <c r="I447" s="8" t="n">
        <v>642426</v>
      </c>
      <c r="J447" s="9" t="n">
        <f aca="false">H447/I447</f>
        <v>0.290008499033352</v>
      </c>
      <c r="K447" s="10" t="n">
        <v>0.336</v>
      </c>
      <c r="L447" s="8" t="n">
        <v>194573</v>
      </c>
      <c r="M447" s="9" t="n">
        <f aca="false">L447/I447</f>
        <v>0.302872237425011</v>
      </c>
      <c r="N447" s="8" t="n">
        <v>196529</v>
      </c>
      <c r="O447" s="2" t="n">
        <v>0.68</v>
      </c>
      <c r="P447" s="2" t="n">
        <v>0.34</v>
      </c>
      <c r="Q447" s="10" t="n">
        <f aca="false">L447/H447-1</f>
        <v>0.0443564186378542</v>
      </c>
      <c r="R447" s="10" t="n">
        <f aca="false">ABS(Q447)</f>
        <v>0.0443564186378542</v>
      </c>
      <c r="S447" s="2" t="s">
        <v>43</v>
      </c>
      <c r="T447" s="2" t="n">
        <v>0.46</v>
      </c>
      <c r="U447" s="2" t="n">
        <v>0.998</v>
      </c>
    </row>
    <row r="448" customFormat="false" ht="15" hidden="false" customHeight="false" outlineLevel="0" collapsed="false">
      <c r="A448" s="2" t="s">
        <v>353</v>
      </c>
      <c r="B448" s="2" t="s">
        <v>66</v>
      </c>
      <c r="C448" s="2" t="s">
        <v>200</v>
      </c>
      <c r="D448" s="2" t="s">
        <v>40</v>
      </c>
      <c r="E448" s="2" t="n">
        <v>31</v>
      </c>
      <c r="F448" s="2" t="s">
        <v>163</v>
      </c>
      <c r="G448" s="2" t="s">
        <v>164</v>
      </c>
      <c r="H448" s="8" t="n">
        <v>242610</v>
      </c>
      <c r="I448" s="8" t="n">
        <v>828580</v>
      </c>
      <c r="J448" s="9" t="n">
        <f aca="false">H448/I448</f>
        <v>0.292802143426103</v>
      </c>
      <c r="K448" s="10" t="n">
        <v>0.275</v>
      </c>
      <c r="L448" s="8" t="n">
        <v>247909</v>
      </c>
      <c r="M448" s="9" t="n">
        <f aca="false">L448/I448</f>
        <v>0.299197422095634</v>
      </c>
      <c r="N448" s="8" t="n">
        <v>248232</v>
      </c>
      <c r="O448" s="2" t="n">
        <v>0.7</v>
      </c>
      <c r="P448" s="2" t="n">
        <v>0.38</v>
      </c>
      <c r="Q448" s="10" t="n">
        <f aca="false">L448/H448-1</f>
        <v>0.0218416388442355</v>
      </c>
      <c r="R448" s="10" t="n">
        <f aca="false">ABS(Q448)</f>
        <v>0.0218416388442355</v>
      </c>
      <c r="S448" s="2" t="s">
        <v>43</v>
      </c>
      <c r="T448" s="2" t="n">
        <v>0.5</v>
      </c>
      <c r="U448" s="2" t="n">
        <v>1.034</v>
      </c>
    </row>
    <row r="449" customFormat="false" ht="15" hidden="false" customHeight="false" outlineLevel="0" collapsed="false">
      <c r="A449" s="2" t="s">
        <v>353</v>
      </c>
      <c r="B449" s="2" t="s">
        <v>67</v>
      </c>
      <c r="C449" s="2" t="s">
        <v>200</v>
      </c>
      <c r="D449" s="2" t="s">
        <v>40</v>
      </c>
      <c r="E449" s="2" t="n">
        <v>31</v>
      </c>
      <c r="F449" s="2" t="s">
        <v>163</v>
      </c>
      <c r="G449" s="2" t="s">
        <v>164</v>
      </c>
      <c r="H449" s="8" t="n">
        <v>289932</v>
      </c>
      <c r="I449" s="8" t="n">
        <v>991623</v>
      </c>
      <c r="J449" s="9" t="n">
        <f aca="false">H449/I449</f>
        <v>0.292381277965517</v>
      </c>
      <c r="K449" s="10" t="n">
        <v>0.219</v>
      </c>
      <c r="L449" s="8" t="n">
        <v>295739</v>
      </c>
      <c r="M449" s="9" t="n">
        <f aca="false">L449/I449</f>
        <v>0.298237334148159</v>
      </c>
      <c r="N449" s="8" t="n">
        <v>294986</v>
      </c>
      <c r="O449" s="2" t="n">
        <v>0.7</v>
      </c>
      <c r="P449" s="2" t="n">
        <v>0.38</v>
      </c>
      <c r="Q449" s="10" t="n">
        <f aca="false">L449/H449-1</f>
        <v>0.0200288343473642</v>
      </c>
      <c r="R449" s="10" t="n">
        <f aca="false">ABS(Q449)</f>
        <v>0.0200288343473642</v>
      </c>
      <c r="S449" s="2" t="s">
        <v>43</v>
      </c>
      <c r="T449" s="2" t="n">
        <v>0.51</v>
      </c>
      <c r="U449" s="2" t="n">
        <v>0.984</v>
      </c>
    </row>
    <row r="450" customFormat="false" ht="15" hidden="false" customHeight="false" outlineLevel="0" collapsed="false">
      <c r="A450" s="2" t="s">
        <v>353</v>
      </c>
      <c r="B450" s="2" t="s">
        <v>68</v>
      </c>
      <c r="C450" s="2" t="s">
        <v>200</v>
      </c>
      <c r="D450" s="2" t="s">
        <v>40</v>
      </c>
      <c r="E450" s="2" t="n">
        <v>30</v>
      </c>
      <c r="F450" s="2" t="s">
        <v>163</v>
      </c>
      <c r="G450" s="2" t="s">
        <v>164</v>
      </c>
      <c r="H450" s="8" t="n">
        <v>248852</v>
      </c>
      <c r="I450" s="8" t="n">
        <v>832563</v>
      </c>
      <c r="J450" s="9" t="n">
        <f aca="false">H450/I450</f>
        <v>0.298898701960092</v>
      </c>
      <c r="K450" s="10" t="n">
        <v>0.249</v>
      </c>
      <c r="L450" s="8" t="n">
        <v>248273</v>
      </c>
      <c r="M450" s="9" t="n">
        <f aca="false">L450/I450</f>
        <v>0.298203259092705</v>
      </c>
      <c r="N450" s="8" t="n">
        <v>249769</v>
      </c>
      <c r="O450" s="2" t="n">
        <v>0.7</v>
      </c>
      <c r="P450" s="2" t="n">
        <v>0.38</v>
      </c>
      <c r="Q450" s="10" t="n">
        <f aca="false">L450/H450-1</f>
        <v>-0.0023266841335412</v>
      </c>
      <c r="R450" s="10" t="n">
        <f aca="false">ABS(Q450)</f>
        <v>0.0023266841335412</v>
      </c>
      <c r="S450" s="2" t="s">
        <v>43</v>
      </c>
      <c r="T450" s="2" t="n">
        <v>0.51</v>
      </c>
      <c r="U450" s="2" t="n">
        <v>1.006</v>
      </c>
    </row>
    <row r="451" customFormat="false" ht="15" hidden="false" customHeight="false" outlineLevel="0" collapsed="false">
      <c r="A451" s="2" t="s">
        <v>358</v>
      </c>
      <c r="B451" s="2" t="s">
        <v>44</v>
      </c>
      <c r="C451" s="2" t="s">
        <v>200</v>
      </c>
      <c r="D451" s="2" t="s">
        <v>193</v>
      </c>
      <c r="E451" s="2" t="n">
        <v>22</v>
      </c>
      <c r="F451" s="2" t="s">
        <v>359</v>
      </c>
      <c r="G451" s="2" t="s">
        <v>159</v>
      </c>
      <c r="H451" s="8" t="n">
        <v>1744</v>
      </c>
      <c r="I451" s="8" t="n">
        <v>2810</v>
      </c>
      <c r="J451" s="9" t="n">
        <f aca="false">H451/I451</f>
        <v>0.620640569395018</v>
      </c>
      <c r="K451" s="10" t="n">
        <v>0.135</v>
      </c>
      <c r="L451" s="8" t="n">
        <v>1965</v>
      </c>
      <c r="M451" s="9" t="n">
        <f aca="false">L451/I451</f>
        <v>0.699288256227758</v>
      </c>
      <c r="N451" s="8" t="n">
        <v>1962</v>
      </c>
      <c r="O451" s="2" t="n">
        <v>0.5</v>
      </c>
      <c r="P451" s="2" t="n">
        <v>0.3</v>
      </c>
      <c r="Q451" s="10" t="n">
        <f aca="false">L451/H451-1</f>
        <v>0.126720183486239</v>
      </c>
      <c r="R451" s="10" t="n">
        <f aca="false">ABS(Q451)</f>
        <v>0.126720183486239</v>
      </c>
      <c r="S451" s="2" t="s">
        <v>316</v>
      </c>
      <c r="T451" s="2" t="n">
        <v>0.1</v>
      </c>
      <c r="U451" s="2" t="n">
        <v>1.012</v>
      </c>
    </row>
    <row r="452" customFormat="false" ht="15" hidden="false" customHeight="false" outlineLevel="0" collapsed="false">
      <c r="A452" s="2" t="s">
        <v>358</v>
      </c>
      <c r="B452" s="2" t="s">
        <v>46</v>
      </c>
      <c r="C452" s="2" t="s">
        <v>200</v>
      </c>
      <c r="D452" s="2" t="s">
        <v>193</v>
      </c>
      <c r="E452" s="2" t="n">
        <v>25</v>
      </c>
      <c r="F452" s="2" t="s">
        <v>359</v>
      </c>
      <c r="G452" s="2" t="s">
        <v>159</v>
      </c>
      <c r="H452" s="8" t="n">
        <v>1621</v>
      </c>
      <c r="I452" s="8" t="n">
        <v>2824</v>
      </c>
      <c r="J452" s="9" t="n">
        <f aca="false">H452/I452</f>
        <v>0.574008498583569</v>
      </c>
      <c r="K452" s="10" t="n">
        <v>0.16</v>
      </c>
      <c r="L452" s="8" t="n">
        <v>1821</v>
      </c>
      <c r="M452" s="9" t="n">
        <f aca="false">L452/I452</f>
        <v>0.644830028328612</v>
      </c>
      <c r="N452" s="8" t="n">
        <v>1825</v>
      </c>
      <c r="O452" s="2" t="n">
        <v>0.5</v>
      </c>
      <c r="P452" s="2" t="n">
        <v>0.3</v>
      </c>
      <c r="Q452" s="10" t="n">
        <f aca="false">L452/H452-1</f>
        <v>0.123380629241209</v>
      </c>
      <c r="R452" s="10" t="n">
        <f aca="false">ABS(Q452)</f>
        <v>0.123380629241209</v>
      </c>
      <c r="S452" s="2" t="s">
        <v>316</v>
      </c>
      <c r="T452" s="2" t="n">
        <v>0.12</v>
      </c>
      <c r="U452" s="2" t="n">
        <v>0.99</v>
      </c>
    </row>
    <row r="453" customFormat="false" ht="15" hidden="false" customHeight="false" outlineLevel="0" collapsed="false">
      <c r="A453" s="2" t="s">
        <v>358</v>
      </c>
      <c r="B453" s="2" t="s">
        <v>48</v>
      </c>
      <c r="C453" s="2" t="s">
        <v>200</v>
      </c>
      <c r="D453" s="2" t="s">
        <v>193</v>
      </c>
      <c r="E453" s="2" t="n">
        <v>29</v>
      </c>
      <c r="F453" s="2" t="s">
        <v>359</v>
      </c>
      <c r="G453" s="2" t="s">
        <v>159</v>
      </c>
      <c r="H453" s="8" t="n">
        <v>1963</v>
      </c>
      <c r="I453" s="8" t="n">
        <v>3497</v>
      </c>
      <c r="J453" s="9" t="n">
        <f aca="false">H453/I453</f>
        <v>0.561338289962825</v>
      </c>
      <c r="K453" s="10" t="n">
        <v>0.217</v>
      </c>
      <c r="L453" s="8" t="n">
        <v>2157</v>
      </c>
      <c r="M453" s="9" t="n">
        <f aca="false">L453/I453</f>
        <v>0.616814412353446</v>
      </c>
      <c r="N453" s="8" t="n">
        <v>2162</v>
      </c>
      <c r="O453" s="2" t="n">
        <v>0.5</v>
      </c>
      <c r="P453" s="2" t="n">
        <v>0.3</v>
      </c>
      <c r="Q453" s="10" t="n">
        <f aca="false">L453/H453-1</f>
        <v>0.098828323993887</v>
      </c>
      <c r="R453" s="10" t="n">
        <f aca="false">ABS(Q453)</f>
        <v>0.098828323993887</v>
      </c>
      <c r="S453" s="2" t="s">
        <v>316</v>
      </c>
      <c r="T453" s="2" t="n">
        <v>0.12</v>
      </c>
      <c r="U453" s="2" t="n">
        <v>1.057</v>
      </c>
    </row>
    <row r="454" customFormat="false" ht="15" hidden="false" customHeight="false" outlineLevel="0" collapsed="false">
      <c r="A454" s="2" t="s">
        <v>358</v>
      </c>
      <c r="B454" s="2" t="s">
        <v>76</v>
      </c>
      <c r="C454" s="2" t="s">
        <v>200</v>
      </c>
      <c r="D454" s="2" t="s">
        <v>193</v>
      </c>
      <c r="E454" s="2" t="n">
        <v>31</v>
      </c>
      <c r="F454" s="2" t="s">
        <v>359</v>
      </c>
      <c r="G454" s="2" t="s">
        <v>159</v>
      </c>
      <c r="H454" s="8" t="n">
        <v>2170</v>
      </c>
      <c r="I454" s="8" t="n">
        <v>4155</v>
      </c>
      <c r="J454" s="9" t="n">
        <f aca="false">H454/I454</f>
        <v>0.522262334536703</v>
      </c>
      <c r="K454" s="10" t="n">
        <v>0.151</v>
      </c>
      <c r="L454" s="8" t="n">
        <v>2339</v>
      </c>
      <c r="M454" s="9" t="n">
        <f aca="false">L454/I454</f>
        <v>0.562936221419976</v>
      </c>
      <c r="N454" s="8" t="n">
        <v>2349</v>
      </c>
      <c r="O454" s="2" t="n">
        <v>0.5</v>
      </c>
      <c r="P454" s="2" t="n">
        <v>0.3</v>
      </c>
      <c r="Q454" s="10" t="n">
        <f aca="false">L454/H454-1</f>
        <v>0.0778801843317973</v>
      </c>
      <c r="R454" s="10" t="n">
        <f aca="false">ABS(Q454)</f>
        <v>0.0778801843317973</v>
      </c>
      <c r="S454" s="2" t="s">
        <v>316</v>
      </c>
      <c r="T454" s="2" t="n">
        <v>0.14</v>
      </c>
      <c r="U454" s="2" t="n">
        <v>1.014</v>
      </c>
    </row>
    <row r="455" customFormat="false" ht="15" hidden="false" customHeight="false" outlineLevel="0" collapsed="false">
      <c r="A455" s="2" t="s">
        <v>358</v>
      </c>
      <c r="B455" s="2" t="s">
        <v>50</v>
      </c>
      <c r="C455" s="2" t="s">
        <v>200</v>
      </c>
      <c r="D455" s="2" t="s">
        <v>193</v>
      </c>
      <c r="E455" s="2" t="n">
        <v>22</v>
      </c>
      <c r="F455" s="2" t="s">
        <v>359</v>
      </c>
      <c r="G455" s="2" t="s">
        <v>159</v>
      </c>
      <c r="H455" s="8" t="n">
        <v>1922</v>
      </c>
      <c r="I455" s="8" t="n">
        <v>4331</v>
      </c>
      <c r="J455" s="9" t="n">
        <f aca="false">H455/I455</f>
        <v>0.443777418610021</v>
      </c>
      <c r="K455" s="10" t="n">
        <v>0.07</v>
      </c>
      <c r="L455" s="8" t="n">
        <v>2013</v>
      </c>
      <c r="M455" s="9" t="n">
        <f aca="false">L455/I455</f>
        <v>0.464788732394366</v>
      </c>
      <c r="N455" s="8" t="n">
        <v>2006</v>
      </c>
      <c r="O455" s="2" t="n">
        <v>0.5</v>
      </c>
      <c r="P455" s="2" t="n">
        <v>0.3</v>
      </c>
      <c r="Q455" s="10" t="n">
        <f aca="false">L455/H455-1</f>
        <v>0.0473465140478668</v>
      </c>
      <c r="R455" s="10" t="n">
        <f aca="false">ABS(Q455)</f>
        <v>0.0473465140478668</v>
      </c>
      <c r="S455" s="2" t="s">
        <v>316</v>
      </c>
      <c r="T455" s="2" t="n">
        <v>0.19</v>
      </c>
      <c r="U455" s="2" t="n">
        <v>1.012</v>
      </c>
    </row>
    <row r="456" customFormat="false" ht="15" hidden="false" customHeight="false" outlineLevel="0" collapsed="false">
      <c r="A456" s="2" t="s">
        <v>358</v>
      </c>
      <c r="B456" s="2" t="s">
        <v>52</v>
      </c>
      <c r="C456" s="2" t="s">
        <v>200</v>
      </c>
      <c r="D456" s="2" t="s">
        <v>193</v>
      </c>
      <c r="E456" s="2" t="n">
        <v>27</v>
      </c>
      <c r="F456" s="2" t="s">
        <v>359</v>
      </c>
      <c r="G456" s="2" t="s">
        <v>159</v>
      </c>
      <c r="H456" s="8" t="n">
        <v>2214</v>
      </c>
      <c r="I456" s="8" t="n">
        <v>4774</v>
      </c>
      <c r="J456" s="9" t="n">
        <f aca="false">H456/I456</f>
        <v>0.463762044407206</v>
      </c>
      <c r="K456" s="10" t="n">
        <v>0.116</v>
      </c>
      <c r="L456" s="8" t="n">
        <v>2320</v>
      </c>
      <c r="M456" s="9" t="n">
        <f aca="false">L456/I456</f>
        <v>0.48596564725597</v>
      </c>
      <c r="N456" s="8" t="n">
        <v>2320</v>
      </c>
      <c r="O456" s="2" t="n">
        <v>0.5</v>
      </c>
      <c r="P456" s="2" t="n">
        <v>0.3</v>
      </c>
      <c r="Q456" s="10" t="n">
        <f aca="false">L456/H456-1</f>
        <v>0.0478771454381211</v>
      </c>
      <c r="R456" s="10" t="n">
        <f aca="false">ABS(Q456)</f>
        <v>0.0478771454381211</v>
      </c>
      <c r="S456" s="2" t="s">
        <v>316</v>
      </c>
      <c r="T456" s="2" t="n">
        <v>0.18</v>
      </c>
      <c r="U456" s="2" t="n">
        <v>1.091</v>
      </c>
    </row>
    <row r="457" customFormat="false" ht="15" hidden="false" customHeight="false" outlineLevel="0" collapsed="false">
      <c r="A457" s="2" t="s">
        <v>358</v>
      </c>
      <c r="B457" s="2" t="s">
        <v>53</v>
      </c>
      <c r="C457" s="2" t="s">
        <v>200</v>
      </c>
      <c r="D457" s="2" t="s">
        <v>193</v>
      </c>
      <c r="E457" s="2" t="n">
        <v>31</v>
      </c>
      <c r="F457" s="2" t="s">
        <v>359</v>
      </c>
      <c r="G457" s="2" t="s">
        <v>159</v>
      </c>
      <c r="H457" s="8" t="n">
        <v>2849</v>
      </c>
      <c r="I457" s="8" t="n">
        <v>6287</v>
      </c>
      <c r="J457" s="9" t="n">
        <f aca="false">H457/I457</f>
        <v>0.453157308732305</v>
      </c>
      <c r="K457" s="10" t="n">
        <v>0.042</v>
      </c>
      <c r="L457" s="8" t="n">
        <v>2811</v>
      </c>
      <c r="M457" s="9" t="n">
        <f aca="false">L457/I457</f>
        <v>0.447113090504215</v>
      </c>
      <c r="N457" s="8" t="n">
        <v>2811</v>
      </c>
      <c r="O457" s="2" t="n">
        <v>0.5</v>
      </c>
      <c r="P457" s="2" t="n">
        <v>0.3</v>
      </c>
      <c r="Q457" s="10" t="n">
        <f aca="false">L457/H457-1</f>
        <v>-0.0133380133380133</v>
      </c>
      <c r="R457" s="10" t="n">
        <f aca="false">ABS(Q457)</f>
        <v>0.0133380133380133</v>
      </c>
      <c r="S457" s="2" t="s">
        <v>316</v>
      </c>
      <c r="T457" s="2" t="n">
        <v>0.21</v>
      </c>
      <c r="U457" s="2" t="n">
        <v>1.123</v>
      </c>
    </row>
    <row r="458" customFormat="false" ht="15" hidden="false" customHeight="false" outlineLevel="0" collapsed="false">
      <c r="A458" s="2" t="s">
        <v>358</v>
      </c>
      <c r="B458" s="2" t="s">
        <v>54</v>
      </c>
      <c r="C458" s="2" t="s">
        <v>200</v>
      </c>
      <c r="D458" s="2" t="s">
        <v>193</v>
      </c>
      <c r="E458" s="2" t="n">
        <v>30</v>
      </c>
      <c r="F458" s="2" t="s">
        <v>359</v>
      </c>
      <c r="G458" s="2" t="s">
        <v>159</v>
      </c>
      <c r="H458" s="8" t="n">
        <v>2634</v>
      </c>
      <c r="I458" s="8" t="n">
        <v>5271</v>
      </c>
      <c r="J458" s="9" t="n">
        <f aca="false">H458/I458</f>
        <v>0.499715424018213</v>
      </c>
      <c r="K458" s="10" t="n">
        <v>0.091</v>
      </c>
      <c r="L458" s="8" t="n">
        <v>3018</v>
      </c>
      <c r="M458" s="9" t="n">
        <f aca="false">L458/I458</f>
        <v>0.57256687535572</v>
      </c>
      <c r="N458" s="8" t="n">
        <v>3013</v>
      </c>
      <c r="O458" s="2" t="n">
        <v>0.5</v>
      </c>
      <c r="P458" s="2" t="n">
        <v>0.3</v>
      </c>
      <c r="Q458" s="10" t="n">
        <f aca="false">L458/H458-1</f>
        <v>0.145785876993166</v>
      </c>
      <c r="R458" s="10" t="n">
        <f aca="false">ABS(Q458)</f>
        <v>0.145785876993166</v>
      </c>
      <c r="S458" s="2" t="s">
        <v>316</v>
      </c>
      <c r="T458" s="2" t="n">
        <v>0.14</v>
      </c>
      <c r="U458" s="2" t="n">
        <v>0.99</v>
      </c>
    </row>
    <row r="459" customFormat="false" ht="15" hidden="false" customHeight="false" outlineLevel="0" collapsed="false">
      <c r="A459" s="2" t="s">
        <v>358</v>
      </c>
      <c r="B459" s="2" t="s">
        <v>57</v>
      </c>
      <c r="C459" s="2" t="s">
        <v>200</v>
      </c>
      <c r="D459" s="2" t="s">
        <v>193</v>
      </c>
      <c r="E459" s="2" t="n">
        <v>28</v>
      </c>
      <c r="F459" s="2" t="s">
        <v>359</v>
      </c>
      <c r="G459" s="2" t="s">
        <v>159</v>
      </c>
      <c r="H459" s="8" t="n">
        <v>2089</v>
      </c>
      <c r="I459" s="8" t="n">
        <v>4189</v>
      </c>
      <c r="J459" s="9" t="n">
        <f aca="false">H459/I459</f>
        <v>0.498687037479112</v>
      </c>
      <c r="K459" s="10" t="n">
        <v>0.075</v>
      </c>
      <c r="L459" s="8" t="n">
        <v>2187</v>
      </c>
      <c r="M459" s="9" t="n">
        <f aca="false">L459/I459</f>
        <v>0.522081642396753</v>
      </c>
      <c r="N459" s="8" t="n">
        <v>2187</v>
      </c>
      <c r="O459" s="2" t="n">
        <v>0.5</v>
      </c>
      <c r="P459" s="2" t="n">
        <v>0.3</v>
      </c>
      <c r="Q459" s="10" t="n">
        <f aca="false">L459/H459-1</f>
        <v>0.0469123982766875</v>
      </c>
      <c r="R459" s="10" t="n">
        <f aca="false">ABS(Q459)</f>
        <v>0.0469123982766875</v>
      </c>
      <c r="S459" s="2" t="s">
        <v>316</v>
      </c>
      <c r="T459" s="2" t="n">
        <v>0.16</v>
      </c>
      <c r="U459" s="2" t="n">
        <v>1.067</v>
      </c>
    </row>
    <row r="460" customFormat="false" ht="15" hidden="false" customHeight="false" outlineLevel="0" collapsed="false">
      <c r="A460" s="2" t="s">
        <v>358</v>
      </c>
      <c r="B460" s="2" t="s">
        <v>58</v>
      </c>
      <c r="C460" s="2" t="s">
        <v>200</v>
      </c>
      <c r="D460" s="2" t="s">
        <v>193</v>
      </c>
      <c r="E460" s="2" t="n">
        <v>28</v>
      </c>
      <c r="F460" s="2" t="s">
        <v>359</v>
      </c>
      <c r="G460" s="2" t="s">
        <v>159</v>
      </c>
      <c r="H460" s="8" t="n">
        <v>2442</v>
      </c>
      <c r="I460" s="8" t="n">
        <v>4031</v>
      </c>
      <c r="J460" s="9" t="n">
        <f aca="false">H460/I460</f>
        <v>0.605805011163483</v>
      </c>
      <c r="K460" s="10" t="n">
        <v>0.017</v>
      </c>
      <c r="L460" s="8" t="n">
        <v>2972</v>
      </c>
      <c r="M460" s="9" t="n">
        <f aca="false">L460/I460</f>
        <v>0.737286033242372</v>
      </c>
      <c r="N460" s="8" t="n">
        <v>2939</v>
      </c>
      <c r="O460" s="2" t="n">
        <v>0.5</v>
      </c>
      <c r="P460" s="2" t="n">
        <v>0.3</v>
      </c>
      <c r="Q460" s="10" t="n">
        <f aca="false">L460/H460-1</f>
        <v>0.217035217035217</v>
      </c>
      <c r="R460" s="10" t="n">
        <f aca="false">ABS(Q460)</f>
        <v>0.217035217035217</v>
      </c>
      <c r="S460" s="2" t="s">
        <v>316</v>
      </c>
      <c r="T460" s="2" t="n">
        <v>0.1</v>
      </c>
      <c r="U460" s="2" t="n">
        <v>1.005</v>
      </c>
    </row>
    <row r="461" customFormat="false" ht="15" hidden="false" customHeight="false" outlineLevel="0" collapsed="false">
      <c r="A461" s="2" t="s">
        <v>358</v>
      </c>
      <c r="B461" s="2" t="s">
        <v>59</v>
      </c>
      <c r="C461" s="2" t="s">
        <v>200</v>
      </c>
      <c r="D461" s="2" t="s">
        <v>193</v>
      </c>
      <c r="E461" s="2" t="n">
        <v>28</v>
      </c>
      <c r="F461" s="2" t="s">
        <v>359</v>
      </c>
      <c r="G461" s="2" t="s">
        <v>159</v>
      </c>
      <c r="H461" s="8" t="n">
        <v>2149</v>
      </c>
      <c r="I461" s="8" t="n">
        <v>3061</v>
      </c>
      <c r="J461" s="9" t="n">
        <f aca="false">H461/I461</f>
        <v>0.702058150931068</v>
      </c>
      <c r="K461" s="10" t="n">
        <v>0.012</v>
      </c>
      <c r="L461" s="8" t="n">
        <v>2593</v>
      </c>
      <c r="M461" s="9" t="n">
        <f aca="false">L461/I461</f>
        <v>0.847108787977785</v>
      </c>
      <c r="N461" s="8" t="n">
        <v>2560</v>
      </c>
      <c r="O461" s="2" t="n">
        <v>0.5</v>
      </c>
      <c r="P461" s="2" t="n">
        <v>0.3</v>
      </c>
      <c r="Q461" s="10" t="n">
        <f aca="false">L461/H461-1</f>
        <v>0.206607724523034</v>
      </c>
      <c r="R461" s="10" t="n">
        <f aca="false">ABS(Q461)</f>
        <v>0.206607724523034</v>
      </c>
      <c r="S461" s="2" t="s">
        <v>316</v>
      </c>
      <c r="T461" s="2" t="n">
        <v>0.08</v>
      </c>
      <c r="U461" s="2" t="n">
        <v>1.007</v>
      </c>
    </row>
    <row r="462" customFormat="false" ht="15" hidden="false" customHeight="false" outlineLevel="0" collapsed="false">
      <c r="A462" s="2" t="s">
        <v>358</v>
      </c>
      <c r="B462" s="2" t="s">
        <v>60</v>
      </c>
      <c r="C462" s="2" t="s">
        <v>200</v>
      </c>
      <c r="D462" s="2" t="s">
        <v>193</v>
      </c>
      <c r="E462" s="2" t="n">
        <v>27</v>
      </c>
      <c r="F462" s="2" t="s">
        <v>359</v>
      </c>
      <c r="G462" s="2" t="s">
        <v>159</v>
      </c>
      <c r="H462" s="8" t="n">
        <v>1462</v>
      </c>
      <c r="I462" s="8" t="n">
        <v>1611</v>
      </c>
      <c r="J462" s="9" t="n">
        <f aca="false">H462/I462</f>
        <v>0.907510862818125</v>
      </c>
      <c r="K462" s="10" t="n">
        <v>0.002</v>
      </c>
      <c r="L462" s="8" t="n">
        <v>1793</v>
      </c>
      <c r="M462" s="9" t="n">
        <f aca="false">L462/I462</f>
        <v>1.11297330850403</v>
      </c>
      <c r="N462" s="8" t="n">
        <v>1790</v>
      </c>
      <c r="O462" s="2" t="n">
        <v>0.5</v>
      </c>
      <c r="P462" s="2" t="n">
        <v>0.3</v>
      </c>
      <c r="Q462" s="10" t="n">
        <f aca="false">L462/H462-1</f>
        <v>0.22640218878249</v>
      </c>
      <c r="R462" s="10" t="n">
        <f aca="false">ABS(Q462)</f>
        <v>0.22640218878249</v>
      </c>
      <c r="S462" s="2" t="s">
        <v>316</v>
      </c>
      <c r="T462" s="2" t="n">
        <v>0.06</v>
      </c>
      <c r="U462" s="2" t="n">
        <v>1.011</v>
      </c>
    </row>
    <row r="463" customFormat="false" ht="15" hidden="false" customHeight="false" outlineLevel="0" collapsed="false">
      <c r="A463" s="2" t="s">
        <v>358</v>
      </c>
      <c r="B463" s="2" t="s">
        <v>61</v>
      </c>
      <c r="C463" s="2" t="s">
        <v>200</v>
      </c>
      <c r="D463" s="2" t="s">
        <v>193</v>
      </c>
      <c r="E463" s="2" t="n">
        <v>24</v>
      </c>
      <c r="F463" s="2" t="s">
        <v>359</v>
      </c>
      <c r="G463" s="2" t="s">
        <v>159</v>
      </c>
      <c r="H463" s="8" t="n">
        <v>1429</v>
      </c>
      <c r="I463" s="8" t="n">
        <v>2112</v>
      </c>
      <c r="J463" s="9" t="n">
        <f aca="false">H463/I463</f>
        <v>0.676609848484849</v>
      </c>
      <c r="K463" s="10" t="n">
        <v>0.014</v>
      </c>
      <c r="L463" s="8" t="n">
        <v>1647</v>
      </c>
      <c r="M463" s="9" t="n">
        <f aca="false">L463/I463</f>
        <v>0.779829545454545</v>
      </c>
      <c r="N463" s="8" t="n">
        <v>1646</v>
      </c>
      <c r="O463" s="2" t="n">
        <v>0.5</v>
      </c>
      <c r="P463" s="2" t="n">
        <v>0.3</v>
      </c>
      <c r="Q463" s="10" t="n">
        <f aca="false">L463/H463-1</f>
        <v>0.152554233729881</v>
      </c>
      <c r="R463" s="10" t="n">
        <f aca="false">ABS(Q463)</f>
        <v>0.152554233729881</v>
      </c>
      <c r="S463" s="2" t="s">
        <v>316</v>
      </c>
      <c r="T463" s="2" t="n">
        <v>0.09</v>
      </c>
      <c r="U463" s="2" t="n">
        <v>1.012</v>
      </c>
    </row>
    <row r="464" customFormat="false" ht="15" hidden="false" customHeight="false" outlineLevel="0" collapsed="false">
      <c r="A464" s="2" t="s">
        <v>358</v>
      </c>
      <c r="B464" s="2" t="s">
        <v>62</v>
      </c>
      <c r="C464" s="2" t="s">
        <v>200</v>
      </c>
      <c r="D464" s="2" t="s">
        <v>193</v>
      </c>
      <c r="E464" s="2" t="n">
        <v>24</v>
      </c>
      <c r="F464" s="2" t="s">
        <v>359</v>
      </c>
      <c r="G464" s="2" t="s">
        <v>159</v>
      </c>
      <c r="H464" s="8" t="n">
        <v>1309</v>
      </c>
      <c r="I464" s="8" t="n">
        <v>2457</v>
      </c>
      <c r="J464" s="9" t="n">
        <f aca="false">H464/I464</f>
        <v>0.532763532763533</v>
      </c>
      <c r="K464" s="10" t="n">
        <v>0.009</v>
      </c>
      <c r="L464" s="8" t="n">
        <v>1536</v>
      </c>
      <c r="M464" s="9" t="n">
        <f aca="false">L464/I464</f>
        <v>0.625152625152625</v>
      </c>
      <c r="N464" s="8" t="n">
        <v>1535</v>
      </c>
      <c r="O464" s="2" t="n">
        <v>0.5</v>
      </c>
      <c r="P464" s="2" t="n">
        <v>0.3</v>
      </c>
      <c r="Q464" s="10" t="n">
        <f aca="false">L464/H464-1</f>
        <v>0.173414820473644</v>
      </c>
      <c r="R464" s="10" t="n">
        <f aca="false">ABS(Q464)</f>
        <v>0.173414820473644</v>
      </c>
      <c r="S464" s="2" t="s">
        <v>316</v>
      </c>
      <c r="T464" s="2" t="n">
        <v>0.12</v>
      </c>
      <c r="U464" s="2" t="n">
        <v>1.012</v>
      </c>
    </row>
    <row r="465" customFormat="false" ht="15" hidden="false" customHeight="false" outlineLevel="0" collapsed="false">
      <c r="A465" s="2" t="s">
        <v>358</v>
      </c>
      <c r="B465" s="2" t="s">
        <v>63</v>
      </c>
      <c r="C465" s="2" t="s">
        <v>200</v>
      </c>
      <c r="D465" s="2" t="s">
        <v>193</v>
      </c>
      <c r="E465" s="2" t="n">
        <v>26</v>
      </c>
      <c r="F465" s="2" t="s">
        <v>359</v>
      </c>
      <c r="G465" s="2" t="s">
        <v>159</v>
      </c>
      <c r="H465" s="8" t="n">
        <v>3414</v>
      </c>
      <c r="I465" s="8" t="n">
        <v>7208</v>
      </c>
      <c r="J465" s="9" t="n">
        <f aca="false">H465/I465</f>
        <v>0.473640399556049</v>
      </c>
      <c r="K465" s="10" t="n">
        <v>0.021</v>
      </c>
      <c r="L465" s="8" t="n">
        <v>3411</v>
      </c>
      <c r="M465" s="9" t="n">
        <f aca="false">L465/I465</f>
        <v>0.473224195338513</v>
      </c>
      <c r="N465" s="8" t="n">
        <v>3399</v>
      </c>
      <c r="O465" s="2" t="n">
        <v>0.5</v>
      </c>
      <c r="P465" s="2" t="n">
        <v>0.3</v>
      </c>
      <c r="Q465" s="10" t="n">
        <f aca="false">L465/H465-1</f>
        <v>-0.000878734622144162</v>
      </c>
      <c r="R465" s="10" t="n">
        <f aca="false">ABS(Q465)</f>
        <v>0.000878734622144162</v>
      </c>
      <c r="S465" s="2" t="s">
        <v>316</v>
      </c>
      <c r="T465" s="2" t="n">
        <v>0.19</v>
      </c>
      <c r="U465" s="2" t="n">
        <v>1.25</v>
      </c>
    </row>
    <row r="466" customFormat="false" ht="15" hidden="false" customHeight="false" outlineLevel="0" collapsed="false">
      <c r="A466" s="2" t="s">
        <v>358</v>
      </c>
      <c r="B466" s="2" t="s">
        <v>64</v>
      </c>
      <c r="C466" s="2" t="s">
        <v>200</v>
      </c>
      <c r="D466" s="2" t="s">
        <v>193</v>
      </c>
      <c r="E466" s="2" t="n">
        <v>29</v>
      </c>
      <c r="F466" s="2" t="s">
        <v>359</v>
      </c>
      <c r="G466" s="2" t="s">
        <v>159</v>
      </c>
      <c r="H466" s="8" t="n">
        <v>4216</v>
      </c>
      <c r="I466" s="8" t="n">
        <v>9191</v>
      </c>
      <c r="J466" s="9" t="n">
        <f aca="false">H466/I466</f>
        <v>0.458709607224459</v>
      </c>
      <c r="K466" s="10" t="n">
        <v>0.05</v>
      </c>
      <c r="L466" s="8" t="n">
        <v>4456</v>
      </c>
      <c r="M466" s="9" t="n">
        <f aca="false">L466/I466</f>
        <v>0.484822108584485</v>
      </c>
      <c r="N466" s="8" t="n">
        <v>4440</v>
      </c>
      <c r="O466" s="2" t="n">
        <v>0.5</v>
      </c>
      <c r="P466" s="2" t="n">
        <v>0.3</v>
      </c>
      <c r="Q466" s="10" t="n">
        <f aca="false">L466/H466-1</f>
        <v>0.0569259962049336</v>
      </c>
      <c r="R466" s="10" t="n">
        <f aca="false">ABS(Q466)</f>
        <v>0.0569259962049336</v>
      </c>
      <c r="S466" s="2" t="s">
        <v>316</v>
      </c>
      <c r="T466" s="2" t="n">
        <v>0.18</v>
      </c>
      <c r="U466" s="2" t="n">
        <v>1.039</v>
      </c>
    </row>
    <row r="467" customFormat="false" ht="15" hidden="false" customHeight="false" outlineLevel="0" collapsed="false">
      <c r="A467" s="2" t="s">
        <v>358</v>
      </c>
      <c r="B467" s="2" t="s">
        <v>65</v>
      </c>
      <c r="C467" s="2" t="s">
        <v>200</v>
      </c>
      <c r="D467" s="2" t="s">
        <v>193</v>
      </c>
      <c r="E467" s="2" t="n">
        <v>27</v>
      </c>
      <c r="F467" s="2" t="s">
        <v>359</v>
      </c>
      <c r="G467" s="2" t="s">
        <v>159</v>
      </c>
      <c r="H467" s="8" t="n">
        <v>2301</v>
      </c>
      <c r="I467" s="8" t="n">
        <v>4691</v>
      </c>
      <c r="J467" s="9" t="n">
        <f aca="false">H467/I467</f>
        <v>0.490513749733532</v>
      </c>
      <c r="K467" s="10" t="n">
        <v>0.128</v>
      </c>
      <c r="L467" s="8" t="n">
        <v>2365</v>
      </c>
      <c r="M467" s="9" t="n">
        <f aca="false">L467/I467</f>
        <v>0.504156896184183</v>
      </c>
      <c r="N467" s="8" t="n">
        <v>2362</v>
      </c>
      <c r="O467" s="2" t="n">
        <v>0.5</v>
      </c>
      <c r="P467" s="2" t="n">
        <v>0.3</v>
      </c>
      <c r="Q467" s="10" t="n">
        <f aca="false">L467/H467-1</f>
        <v>0.0278139939156887</v>
      </c>
      <c r="R467" s="10" t="n">
        <f aca="false">ABS(Q467)</f>
        <v>0.0278139939156887</v>
      </c>
      <c r="S467" s="2" t="s">
        <v>316</v>
      </c>
      <c r="T467" s="2" t="n">
        <v>0.17</v>
      </c>
      <c r="U467" s="2" t="n">
        <v>0.929</v>
      </c>
    </row>
    <row r="468" customFormat="false" ht="15" hidden="false" customHeight="false" outlineLevel="0" collapsed="false">
      <c r="A468" s="2" t="s">
        <v>358</v>
      </c>
      <c r="B468" s="2" t="s">
        <v>66</v>
      </c>
      <c r="C468" s="2" t="s">
        <v>200</v>
      </c>
      <c r="D468" s="2" t="s">
        <v>193</v>
      </c>
      <c r="E468" s="2" t="n">
        <v>31</v>
      </c>
      <c r="F468" s="2" t="s">
        <v>359</v>
      </c>
      <c r="G468" s="2" t="s">
        <v>159</v>
      </c>
      <c r="H468" s="8" t="n">
        <v>2459</v>
      </c>
      <c r="I468" s="8" t="n">
        <v>5043</v>
      </c>
      <c r="J468" s="9" t="n">
        <f aca="false">H468/I468</f>
        <v>0.487606583382907</v>
      </c>
      <c r="K468" s="10" t="n">
        <v>0.148</v>
      </c>
      <c r="L468" s="8" t="n">
        <v>2687</v>
      </c>
      <c r="M468" s="9" t="n">
        <f aca="false">L468/I468</f>
        <v>0.532817767202062</v>
      </c>
      <c r="N468" s="8" t="n">
        <v>2686</v>
      </c>
      <c r="O468" s="2" t="n">
        <v>0.5</v>
      </c>
      <c r="P468" s="2" t="n">
        <v>0.3</v>
      </c>
      <c r="Q468" s="10" t="n">
        <f aca="false">L468/H468-1</f>
        <v>0.0927206181374543</v>
      </c>
      <c r="R468" s="10" t="n">
        <f aca="false">ABS(Q468)</f>
        <v>0.0927206181374543</v>
      </c>
      <c r="S468" s="2" t="s">
        <v>316</v>
      </c>
      <c r="T468" s="2" t="n">
        <v>0.15</v>
      </c>
      <c r="U468" s="2" t="n">
        <v>0.93</v>
      </c>
    </row>
    <row r="469" customFormat="false" ht="15" hidden="false" customHeight="false" outlineLevel="0" collapsed="false">
      <c r="A469" s="2" t="s">
        <v>358</v>
      </c>
      <c r="B469" s="2" t="s">
        <v>67</v>
      </c>
      <c r="C469" s="2" t="s">
        <v>200</v>
      </c>
      <c r="D469" s="2" t="s">
        <v>193</v>
      </c>
      <c r="E469" s="2" t="n">
        <v>31</v>
      </c>
      <c r="F469" s="2" t="s">
        <v>359</v>
      </c>
      <c r="G469" s="2" t="s">
        <v>159</v>
      </c>
      <c r="H469" s="8" t="n">
        <v>2582</v>
      </c>
      <c r="I469" s="8" t="n">
        <v>4385</v>
      </c>
      <c r="J469" s="9" t="n">
        <f aca="false">H469/I469</f>
        <v>0.588825541619156</v>
      </c>
      <c r="K469" s="10" t="n">
        <v>0.09</v>
      </c>
      <c r="L469" s="8" t="n">
        <v>2365</v>
      </c>
      <c r="M469" s="9" t="n">
        <f aca="false">L469/I469</f>
        <v>0.539338654503991</v>
      </c>
      <c r="N469" s="8" t="n">
        <v>2364</v>
      </c>
      <c r="O469" s="2" t="n">
        <v>0.5</v>
      </c>
      <c r="P469" s="2" t="n">
        <v>0.3</v>
      </c>
      <c r="Q469" s="10" t="n">
        <f aca="false">L469/H469-1</f>
        <v>-0.0840433772269559</v>
      </c>
      <c r="R469" s="10" t="n">
        <f aca="false">ABS(Q469)</f>
        <v>0.0840433772269559</v>
      </c>
      <c r="S469" s="2" t="s">
        <v>316</v>
      </c>
      <c r="T469" s="2" t="n">
        <v>0.15</v>
      </c>
      <c r="U469" s="2" t="n">
        <v>0.934</v>
      </c>
    </row>
    <row r="470" customFormat="false" ht="15" hidden="false" customHeight="false" outlineLevel="0" collapsed="false">
      <c r="A470" s="2" t="s">
        <v>358</v>
      </c>
      <c r="B470" s="2" t="s">
        <v>68</v>
      </c>
      <c r="C470" s="2" t="s">
        <v>200</v>
      </c>
      <c r="D470" s="2" t="s">
        <v>193</v>
      </c>
      <c r="E470" s="2" t="n">
        <v>29</v>
      </c>
      <c r="F470" s="2" t="s">
        <v>359</v>
      </c>
      <c r="G470" s="2" t="s">
        <v>159</v>
      </c>
      <c r="H470" s="8" t="n">
        <v>2743</v>
      </c>
      <c r="I470" s="8" t="n">
        <v>5212</v>
      </c>
      <c r="J470" s="9" t="n">
        <f aca="false">H470/I470</f>
        <v>0.526285495011512</v>
      </c>
      <c r="K470" s="10" t="n">
        <v>0.131</v>
      </c>
      <c r="L470" s="8" t="n">
        <v>2460</v>
      </c>
      <c r="M470" s="9" t="n">
        <f aca="false">L470/I470</f>
        <v>0.471987720644666</v>
      </c>
      <c r="N470" s="8" t="n">
        <v>2460</v>
      </c>
      <c r="O470" s="2" t="n">
        <v>0.5</v>
      </c>
      <c r="P470" s="2" t="n">
        <v>0.3</v>
      </c>
      <c r="Q470" s="10" t="n">
        <f aca="false">L470/H470-1</f>
        <v>-0.103171709806781</v>
      </c>
      <c r="R470" s="10" t="n">
        <f aca="false">ABS(Q470)</f>
        <v>0.103171709806781</v>
      </c>
      <c r="S470" s="2" t="s">
        <v>316</v>
      </c>
      <c r="T470" s="2" t="n">
        <v>0.19</v>
      </c>
      <c r="U470" s="2" t="n">
        <v>1.128</v>
      </c>
    </row>
    <row r="471" customFormat="false" ht="15" hidden="false" customHeight="false" outlineLevel="0" collapsed="false">
      <c r="A471" s="2" t="s">
        <v>360</v>
      </c>
      <c r="B471" s="2" t="s">
        <v>38</v>
      </c>
      <c r="C471" s="2" t="s">
        <v>200</v>
      </c>
      <c r="D471" s="2" t="s">
        <v>193</v>
      </c>
      <c r="E471" s="2" t="n">
        <v>31</v>
      </c>
      <c r="F471" s="2" t="s">
        <v>361</v>
      </c>
      <c r="G471" s="2" t="s">
        <v>362</v>
      </c>
      <c r="H471" s="8" t="n">
        <v>6042</v>
      </c>
      <c r="I471" s="8" t="n">
        <v>12509</v>
      </c>
      <c r="J471" s="9" t="n">
        <f aca="false">H471/I471</f>
        <v>0.483012231193541</v>
      </c>
      <c r="K471" s="10" t="n">
        <v>0.178</v>
      </c>
      <c r="L471" s="8" t="n">
        <v>8059</v>
      </c>
      <c r="M471" s="9" t="n">
        <f aca="false">L471/I471</f>
        <v>0.644256135582381</v>
      </c>
      <c r="N471" s="8" t="n">
        <v>6243</v>
      </c>
      <c r="O471" s="2" t="n">
        <v>0.5</v>
      </c>
      <c r="P471" s="2" t="n">
        <v>0.3</v>
      </c>
      <c r="Q471" s="10" t="n">
        <f aca="false">L471/H471-1</f>
        <v>0.333829857663025</v>
      </c>
      <c r="R471" s="10" t="n">
        <f aca="false">ABS(Q471)</f>
        <v>0.333829857663025</v>
      </c>
      <c r="S471" s="2" t="s">
        <v>316</v>
      </c>
      <c r="T471" s="2" t="n">
        <v>0.09</v>
      </c>
      <c r="U471" s="2" t="n">
        <v>1.048</v>
      </c>
    </row>
    <row r="472" customFormat="false" ht="15" hidden="false" customHeight="false" outlineLevel="0" collapsed="false">
      <c r="A472" s="2" t="s">
        <v>360</v>
      </c>
      <c r="B472" s="2" t="s">
        <v>44</v>
      </c>
      <c r="C472" s="2" t="s">
        <v>200</v>
      </c>
      <c r="D472" s="2" t="s">
        <v>193</v>
      </c>
      <c r="E472" s="2" t="n">
        <v>28</v>
      </c>
      <c r="F472" s="2" t="s">
        <v>363</v>
      </c>
      <c r="G472" s="2" t="s">
        <v>362</v>
      </c>
      <c r="H472" s="8" t="n">
        <v>5573</v>
      </c>
      <c r="I472" s="8" t="n">
        <v>11483</v>
      </c>
      <c r="J472" s="9" t="n">
        <f aca="false">H472/I472</f>
        <v>0.485326134285465</v>
      </c>
      <c r="K472" s="10" t="n">
        <v>0.222</v>
      </c>
      <c r="L472" s="8" t="n">
        <v>7906</v>
      </c>
      <c r="M472" s="9" t="n">
        <f aca="false">L472/I472</f>
        <v>0.688496037620831</v>
      </c>
      <c r="N472" s="8" t="n">
        <v>5800</v>
      </c>
      <c r="O472" s="2" t="n">
        <v>0.5</v>
      </c>
      <c r="P472" s="2" t="n">
        <v>0.3</v>
      </c>
      <c r="Q472" s="10" t="n">
        <f aca="false">L472/H472-1</f>
        <v>0.418625515880136</v>
      </c>
      <c r="R472" s="10" t="n">
        <f aca="false">ABS(Q472)</f>
        <v>0.418625515880136</v>
      </c>
      <c r="S472" s="2" t="s">
        <v>316</v>
      </c>
      <c r="T472" s="2" t="n">
        <v>0.08</v>
      </c>
      <c r="U472" s="2" t="n">
        <v>1.143</v>
      </c>
    </row>
    <row r="473" customFormat="false" ht="15" hidden="false" customHeight="false" outlineLevel="0" collapsed="false">
      <c r="A473" s="2" t="s">
        <v>360</v>
      </c>
      <c r="B473" s="2" t="s">
        <v>46</v>
      </c>
      <c r="C473" s="2" t="s">
        <v>200</v>
      </c>
      <c r="D473" s="2" t="s">
        <v>193</v>
      </c>
      <c r="E473" s="2" t="n">
        <v>30</v>
      </c>
      <c r="F473" s="2" t="s">
        <v>363</v>
      </c>
      <c r="G473" s="2" t="s">
        <v>362</v>
      </c>
      <c r="H473" s="8" t="n">
        <v>6298</v>
      </c>
      <c r="I473" s="8" t="n">
        <v>13877</v>
      </c>
      <c r="J473" s="9" t="n">
        <f aca="false">H473/I473</f>
        <v>0.453844490884197</v>
      </c>
      <c r="K473" s="10" t="n">
        <v>0.25</v>
      </c>
      <c r="L473" s="8" t="n">
        <v>9074</v>
      </c>
      <c r="M473" s="9" t="n">
        <f aca="false">L473/I473</f>
        <v>0.653887727895078</v>
      </c>
      <c r="N473" s="8" t="n">
        <v>6623</v>
      </c>
      <c r="O473" s="2" t="n">
        <v>0.5</v>
      </c>
      <c r="P473" s="2" t="n">
        <v>0.3</v>
      </c>
      <c r="Q473" s="10" t="n">
        <f aca="false">L473/H473-1</f>
        <v>0.440774849158463</v>
      </c>
      <c r="R473" s="10" t="n">
        <f aca="false">ABS(Q473)</f>
        <v>0.440774849158463</v>
      </c>
      <c r="S473" s="2" t="s">
        <v>316</v>
      </c>
      <c r="T473" s="2" t="n">
        <v>0.09</v>
      </c>
      <c r="U473" s="2" t="n">
        <v>1.092</v>
      </c>
    </row>
    <row r="474" customFormat="false" ht="15" hidden="false" customHeight="false" outlineLevel="0" collapsed="false">
      <c r="A474" s="2" t="s">
        <v>360</v>
      </c>
      <c r="B474" s="2" t="s">
        <v>48</v>
      </c>
      <c r="C474" s="2" t="s">
        <v>200</v>
      </c>
      <c r="D474" s="2" t="s">
        <v>193</v>
      </c>
      <c r="E474" s="2" t="n">
        <v>30</v>
      </c>
      <c r="F474" s="2" t="s">
        <v>364</v>
      </c>
      <c r="G474" s="2" t="s">
        <v>365</v>
      </c>
      <c r="H474" s="8" t="n">
        <v>8634</v>
      </c>
      <c r="I474" s="8" t="n">
        <v>23098</v>
      </c>
      <c r="J474" s="9" t="n">
        <f aca="false">H474/I474</f>
        <v>0.37379859728115</v>
      </c>
      <c r="K474" s="10" t="n">
        <v>0.201</v>
      </c>
      <c r="L474" s="8" t="n">
        <v>9089</v>
      </c>
      <c r="M474" s="9" t="n">
        <f aca="false">L474/I474</f>
        <v>0.393497272491125</v>
      </c>
      <c r="N474" s="8" t="n">
        <v>8684</v>
      </c>
      <c r="O474" s="2" t="n">
        <v>0.5</v>
      </c>
      <c r="P474" s="2" t="n">
        <v>0.3</v>
      </c>
      <c r="Q474" s="10" t="n">
        <f aca="false">L474/H474-1</f>
        <v>0.0526986333101691</v>
      </c>
      <c r="R474" s="10" t="n">
        <f aca="false">ABS(Q474)</f>
        <v>0.0526986333101691</v>
      </c>
      <c r="S474" s="2" t="s">
        <v>316</v>
      </c>
      <c r="T474" s="2" t="n">
        <v>0.22</v>
      </c>
      <c r="U474" s="2" t="n">
        <v>1.126</v>
      </c>
    </row>
    <row r="475" customFormat="false" ht="15" hidden="false" customHeight="false" outlineLevel="0" collapsed="false">
      <c r="A475" s="2" t="s">
        <v>360</v>
      </c>
      <c r="B475" s="2" t="s">
        <v>76</v>
      </c>
      <c r="C475" s="2" t="s">
        <v>200</v>
      </c>
      <c r="D475" s="2" t="s">
        <v>193</v>
      </c>
      <c r="E475" s="2" t="n">
        <v>31</v>
      </c>
      <c r="F475" s="2" t="s">
        <v>366</v>
      </c>
      <c r="G475" s="2" t="s">
        <v>365</v>
      </c>
      <c r="H475" s="8" t="n">
        <v>10573</v>
      </c>
      <c r="I475" s="8" t="n">
        <v>30544</v>
      </c>
      <c r="J475" s="9" t="n">
        <f aca="false">H475/I475</f>
        <v>0.34615636458879</v>
      </c>
      <c r="K475" s="10" t="n">
        <v>0.16</v>
      </c>
      <c r="L475" s="8" t="n">
        <v>11629</v>
      </c>
      <c r="M475" s="9" t="n">
        <f aca="false">L475/I475</f>
        <v>0.380729439497119</v>
      </c>
      <c r="N475" s="8" t="n">
        <v>11396</v>
      </c>
      <c r="O475" s="2" t="n">
        <v>0.5</v>
      </c>
      <c r="P475" s="2" t="n">
        <v>0.3</v>
      </c>
      <c r="Q475" s="10" t="n">
        <f aca="false">L475/H475-1</f>
        <v>0.0998770453040765</v>
      </c>
      <c r="R475" s="10" t="n">
        <f aca="false">ABS(Q475)</f>
        <v>0.0998770453040765</v>
      </c>
      <c r="S475" s="2" t="s">
        <v>316</v>
      </c>
      <c r="T475" s="2" t="n">
        <v>0.23</v>
      </c>
      <c r="U475" s="2" t="n">
        <v>1.011</v>
      </c>
    </row>
    <row r="476" customFormat="false" ht="15" hidden="false" customHeight="false" outlineLevel="0" collapsed="false">
      <c r="A476" s="2" t="s">
        <v>360</v>
      </c>
      <c r="B476" s="2" t="s">
        <v>50</v>
      </c>
      <c r="C476" s="2" t="s">
        <v>200</v>
      </c>
      <c r="D476" s="2" t="s">
        <v>193</v>
      </c>
      <c r="E476" s="2" t="n">
        <v>30</v>
      </c>
      <c r="F476" s="2" t="s">
        <v>366</v>
      </c>
      <c r="G476" s="2" t="s">
        <v>365</v>
      </c>
      <c r="H476" s="8" t="n">
        <v>9887</v>
      </c>
      <c r="I476" s="8" t="n">
        <v>29712</v>
      </c>
      <c r="J476" s="9" t="n">
        <f aca="false">H476/I476</f>
        <v>0.332761173936457</v>
      </c>
      <c r="K476" s="10" t="n">
        <v>0.131</v>
      </c>
      <c r="L476" s="8" t="n">
        <v>10818</v>
      </c>
      <c r="M476" s="9" t="n">
        <f aca="false">L476/I476</f>
        <v>0.364095315024233</v>
      </c>
      <c r="N476" s="8" t="n">
        <v>10195</v>
      </c>
      <c r="O476" s="2" t="n">
        <v>0.5</v>
      </c>
      <c r="P476" s="2" t="n">
        <v>0.3</v>
      </c>
      <c r="Q476" s="10" t="n">
        <f aca="false">L476/H476-1</f>
        <v>0.0941640538080308</v>
      </c>
      <c r="R476" s="10" t="n">
        <f aca="false">ABS(Q476)</f>
        <v>0.0941640538080308</v>
      </c>
      <c r="S476" s="2" t="s">
        <v>316</v>
      </c>
      <c r="T476" s="2" t="n">
        <v>0.25</v>
      </c>
      <c r="U476" s="2" t="n">
        <v>0.998</v>
      </c>
    </row>
    <row r="477" customFormat="false" ht="15" hidden="false" customHeight="false" outlineLevel="0" collapsed="false">
      <c r="A477" s="2" t="s">
        <v>360</v>
      </c>
      <c r="B477" s="2" t="s">
        <v>52</v>
      </c>
      <c r="C477" s="2" t="s">
        <v>200</v>
      </c>
      <c r="D477" s="2" t="s">
        <v>193</v>
      </c>
      <c r="E477" s="2" t="n">
        <v>31</v>
      </c>
      <c r="F477" s="2" t="s">
        <v>366</v>
      </c>
      <c r="G477" s="2" t="s">
        <v>365</v>
      </c>
      <c r="H477" s="8" t="n">
        <v>13487</v>
      </c>
      <c r="I477" s="8" t="n">
        <v>42619</v>
      </c>
      <c r="J477" s="9" t="n">
        <f aca="false">H477/I477</f>
        <v>0.316455102184472</v>
      </c>
      <c r="K477" s="10" t="n">
        <v>0.109</v>
      </c>
      <c r="L477" s="8" t="n">
        <v>15572</v>
      </c>
      <c r="M477" s="9" t="n">
        <f aca="false">L477/I477</f>
        <v>0.365376944555245</v>
      </c>
      <c r="N477" s="8" t="n">
        <v>13852</v>
      </c>
      <c r="O477" s="2" t="n">
        <v>0.5</v>
      </c>
      <c r="P477" s="2" t="n">
        <v>0.3</v>
      </c>
      <c r="Q477" s="10" t="n">
        <f aca="false">L477/H477-1</f>
        <v>0.154593312078298</v>
      </c>
      <c r="R477" s="10" t="n">
        <f aca="false">ABS(Q477)</f>
        <v>0.154593312078298</v>
      </c>
      <c r="S477" s="2" t="s">
        <v>316</v>
      </c>
      <c r="T477" s="2" t="n">
        <v>0.34</v>
      </c>
      <c r="U477" s="2" t="n">
        <v>1.25</v>
      </c>
    </row>
    <row r="478" customFormat="false" ht="15" hidden="false" customHeight="false" outlineLevel="0" collapsed="false">
      <c r="A478" s="2" t="s">
        <v>360</v>
      </c>
      <c r="B478" s="2" t="s">
        <v>53</v>
      </c>
      <c r="C478" s="2" t="s">
        <v>200</v>
      </c>
      <c r="D478" s="2" t="s">
        <v>193</v>
      </c>
      <c r="E478" s="2" t="n">
        <v>31</v>
      </c>
      <c r="F478" s="2" t="s">
        <v>366</v>
      </c>
      <c r="G478" s="2" t="s">
        <v>365</v>
      </c>
      <c r="H478" s="8" t="n">
        <v>13855</v>
      </c>
      <c r="I478" s="8" t="n">
        <v>44363</v>
      </c>
      <c r="J478" s="9" t="n">
        <f aca="false">H478/I478</f>
        <v>0.312309807722652</v>
      </c>
      <c r="K478" s="10" t="n">
        <v>0.096</v>
      </c>
      <c r="L478" s="8" t="n">
        <v>16796</v>
      </c>
      <c r="M478" s="9" t="n">
        <f aca="false">L478/I478</f>
        <v>0.378603791447828</v>
      </c>
      <c r="N478" s="8" t="n">
        <v>14219</v>
      </c>
      <c r="O478" s="2" t="n">
        <v>0.5</v>
      </c>
      <c r="P478" s="2" t="n">
        <v>0.3</v>
      </c>
      <c r="Q478" s="10" t="n">
        <f aca="false">L478/H478-1</f>
        <v>0.212269938650307</v>
      </c>
      <c r="R478" s="10" t="n">
        <f aca="false">ABS(Q478)</f>
        <v>0.212269938650307</v>
      </c>
      <c r="S478" s="2" t="s">
        <v>316</v>
      </c>
      <c r="T478" s="2" t="n">
        <v>0.35</v>
      </c>
      <c r="U478" s="2" t="n">
        <v>1.25</v>
      </c>
    </row>
    <row r="479" customFormat="false" ht="15" hidden="false" customHeight="false" outlineLevel="0" collapsed="false">
      <c r="A479" s="2" t="s">
        <v>360</v>
      </c>
      <c r="B479" s="2" t="s">
        <v>54</v>
      </c>
      <c r="C479" s="2" t="s">
        <v>200</v>
      </c>
      <c r="D479" s="2" t="s">
        <v>193</v>
      </c>
      <c r="E479" s="2" t="n">
        <v>30</v>
      </c>
      <c r="F479" s="2" t="s">
        <v>367</v>
      </c>
      <c r="G479" s="2" t="s">
        <v>362</v>
      </c>
      <c r="H479" s="8" t="n">
        <v>10939</v>
      </c>
      <c r="I479" s="8" t="n">
        <v>34319</v>
      </c>
      <c r="J479" s="9" t="n">
        <f aca="false">H479/I479</f>
        <v>0.318744718668959</v>
      </c>
      <c r="K479" s="10" t="n">
        <v>0.109</v>
      </c>
      <c r="L479" s="8" t="n">
        <v>12170</v>
      </c>
      <c r="M479" s="9" t="n">
        <f aca="false">L479/I479</f>
        <v>0.354614062181299</v>
      </c>
      <c r="N479" s="8" t="n">
        <v>11519</v>
      </c>
      <c r="O479" s="2" t="n">
        <v>0.5</v>
      </c>
      <c r="P479" s="2" t="n">
        <v>0.3</v>
      </c>
      <c r="Q479" s="10" t="n">
        <f aca="false">L479/H479-1</f>
        <v>0.11253313831246</v>
      </c>
      <c r="R479" s="10" t="n">
        <f aca="false">ABS(Q479)</f>
        <v>0.11253313831246</v>
      </c>
      <c r="S479" s="2" t="s">
        <v>316</v>
      </c>
      <c r="T479" s="2" t="n">
        <v>0.27</v>
      </c>
      <c r="U479" s="2" t="n">
        <v>0.986</v>
      </c>
    </row>
    <row r="480" customFormat="false" ht="15" hidden="false" customHeight="false" outlineLevel="0" collapsed="false">
      <c r="A480" s="2" t="s">
        <v>360</v>
      </c>
      <c r="B480" s="2" t="s">
        <v>57</v>
      </c>
      <c r="C480" s="2" t="s">
        <v>200</v>
      </c>
      <c r="D480" s="2" t="s">
        <v>193</v>
      </c>
      <c r="E480" s="2" t="n">
        <v>31</v>
      </c>
      <c r="F480" s="2" t="s">
        <v>367</v>
      </c>
      <c r="G480" s="2" t="s">
        <v>362</v>
      </c>
      <c r="H480" s="8" t="n">
        <v>10999</v>
      </c>
      <c r="I480" s="8" t="n">
        <v>31112</v>
      </c>
      <c r="J480" s="9" t="n">
        <f aca="false">H480/I480</f>
        <v>0.353529184880432</v>
      </c>
      <c r="K480" s="10" t="n">
        <v>0.118</v>
      </c>
      <c r="L480" s="8" t="n">
        <v>11082</v>
      </c>
      <c r="M480" s="9" t="n">
        <f aca="false">L480/I480</f>
        <v>0.356196965800977</v>
      </c>
      <c r="N480" s="8" t="n">
        <v>10514</v>
      </c>
      <c r="O480" s="2" t="n">
        <v>0.5</v>
      </c>
      <c r="P480" s="2" t="n">
        <v>0.3</v>
      </c>
      <c r="Q480" s="10" t="n">
        <f aca="false">L480/H480-1</f>
        <v>0.00754614055823266</v>
      </c>
      <c r="R480" s="10" t="n">
        <f aca="false">ABS(Q480)</f>
        <v>0.00754614055823266</v>
      </c>
      <c r="S480" s="2" t="s">
        <v>316</v>
      </c>
      <c r="T480" s="2" t="n">
        <v>0.25</v>
      </c>
      <c r="U480" s="2" t="n">
        <v>1.172</v>
      </c>
    </row>
    <row r="481" customFormat="false" ht="15" hidden="false" customHeight="false" outlineLevel="0" collapsed="false">
      <c r="A481" s="2" t="s">
        <v>360</v>
      </c>
      <c r="B481" s="2" t="s">
        <v>58</v>
      </c>
      <c r="C481" s="2" t="s">
        <v>200</v>
      </c>
      <c r="D481" s="2" t="s">
        <v>193</v>
      </c>
      <c r="E481" s="2" t="n">
        <v>30</v>
      </c>
      <c r="F481" s="2" t="s">
        <v>366</v>
      </c>
      <c r="G481" s="2" t="s">
        <v>365</v>
      </c>
      <c r="H481" s="8" t="n">
        <v>9360</v>
      </c>
      <c r="I481" s="8" t="n">
        <v>25123</v>
      </c>
      <c r="J481" s="9" t="n">
        <f aca="false">H481/I481</f>
        <v>0.372566970505115</v>
      </c>
      <c r="K481" s="10" t="n">
        <v>0.111</v>
      </c>
      <c r="L481" s="8" t="n">
        <v>9607</v>
      </c>
      <c r="M481" s="9" t="n">
        <f aca="false">L481/I481</f>
        <v>0.382398598893444</v>
      </c>
      <c r="N481" s="8" t="n">
        <v>9318</v>
      </c>
      <c r="O481" s="2" t="n">
        <v>0.5</v>
      </c>
      <c r="P481" s="2" t="n">
        <v>0.3</v>
      </c>
      <c r="Q481" s="10" t="n">
        <f aca="false">L481/H481-1</f>
        <v>0.0263888888888888</v>
      </c>
      <c r="R481" s="10" t="n">
        <f aca="false">ABS(Q481)</f>
        <v>0.0263888888888888</v>
      </c>
      <c r="S481" s="2" t="s">
        <v>316</v>
      </c>
      <c r="T481" s="2" t="n">
        <v>0.25</v>
      </c>
      <c r="U481" s="2" t="n">
        <v>1.142</v>
      </c>
    </row>
    <row r="482" customFormat="false" ht="15" hidden="false" customHeight="false" outlineLevel="0" collapsed="false">
      <c r="A482" s="2" t="s">
        <v>360</v>
      </c>
      <c r="B482" s="2" t="s">
        <v>59</v>
      </c>
      <c r="C482" s="2" t="s">
        <v>200</v>
      </c>
      <c r="D482" s="2" t="s">
        <v>193</v>
      </c>
      <c r="E482" s="2" t="n">
        <v>31</v>
      </c>
      <c r="F482" s="2" t="s">
        <v>367</v>
      </c>
      <c r="G482" s="2" t="s">
        <v>362</v>
      </c>
      <c r="H482" s="8" t="n">
        <v>8423</v>
      </c>
      <c r="I482" s="8" t="n">
        <v>19286</v>
      </c>
      <c r="J482" s="9" t="n">
        <f aca="false">H482/I482</f>
        <v>0.436741677901068</v>
      </c>
      <c r="K482" s="10" t="n">
        <v>0.1</v>
      </c>
      <c r="L482" s="8" t="n">
        <v>8076</v>
      </c>
      <c r="M482" s="9" t="n">
        <f aca="false">L482/I482</f>
        <v>0.418749351861454</v>
      </c>
      <c r="N482" s="8" t="n">
        <v>7936</v>
      </c>
      <c r="O482" s="2" t="n">
        <v>0.5</v>
      </c>
      <c r="P482" s="2" t="n">
        <v>0.3</v>
      </c>
      <c r="Q482" s="10" t="n">
        <f aca="false">L482/H482-1</f>
        <v>-0.0411967232577466</v>
      </c>
      <c r="R482" s="10" t="n">
        <f aca="false">ABS(Q482)</f>
        <v>0.0411967232577466</v>
      </c>
      <c r="S482" s="2" t="s">
        <v>316</v>
      </c>
      <c r="T482" s="2" t="n">
        <v>0.24</v>
      </c>
      <c r="U482" s="2" t="n">
        <v>1.183</v>
      </c>
    </row>
    <row r="483" customFormat="false" ht="15" hidden="false" customHeight="false" outlineLevel="0" collapsed="false">
      <c r="A483" s="2" t="s">
        <v>360</v>
      </c>
      <c r="B483" s="2" t="s">
        <v>60</v>
      </c>
      <c r="C483" s="2" t="s">
        <v>200</v>
      </c>
      <c r="D483" s="2" t="s">
        <v>193</v>
      </c>
      <c r="E483" s="2" t="n">
        <v>31</v>
      </c>
      <c r="F483" s="2" t="s">
        <v>368</v>
      </c>
      <c r="G483" s="2" t="s">
        <v>365</v>
      </c>
      <c r="H483" s="8" t="n">
        <v>6622</v>
      </c>
      <c r="I483" s="8" t="n">
        <v>13069</v>
      </c>
      <c r="J483" s="9" t="n">
        <f aca="false">H483/I483</f>
        <v>0.506695232994108</v>
      </c>
      <c r="K483" s="10" t="n">
        <v>0.19</v>
      </c>
      <c r="L483" s="8" t="n">
        <v>9857</v>
      </c>
      <c r="M483" s="9" t="n">
        <f aca="false">L483/I483</f>
        <v>0.754227561404851</v>
      </c>
      <c r="N483" s="8" t="n">
        <v>7312</v>
      </c>
      <c r="O483" s="2" t="n">
        <v>0.5</v>
      </c>
      <c r="P483" s="2" t="n">
        <v>0.3</v>
      </c>
      <c r="Q483" s="10" t="n">
        <f aca="false">L483/H483-1</f>
        <v>0.488523104802175</v>
      </c>
      <c r="R483" s="10" t="n">
        <f aca="false">ABS(Q483)</f>
        <v>0.488523104802175</v>
      </c>
      <c r="S483" s="2" t="s">
        <v>316</v>
      </c>
      <c r="T483" s="2" t="n">
        <v>0.07</v>
      </c>
      <c r="U483" s="2" t="n">
        <v>0.999</v>
      </c>
    </row>
    <row r="484" customFormat="false" ht="15" hidden="false" customHeight="false" outlineLevel="0" collapsed="false">
      <c r="A484" s="2" t="s">
        <v>360</v>
      </c>
      <c r="B484" s="2" t="s">
        <v>61</v>
      </c>
      <c r="C484" s="2" t="s">
        <v>200</v>
      </c>
      <c r="D484" s="2" t="s">
        <v>193</v>
      </c>
      <c r="E484" s="2" t="n">
        <v>28</v>
      </c>
      <c r="F484" s="2" t="s">
        <v>366</v>
      </c>
      <c r="G484" s="2" t="s">
        <v>365</v>
      </c>
      <c r="H484" s="8" t="n">
        <v>6484</v>
      </c>
      <c r="I484" s="8" t="n">
        <v>14618</v>
      </c>
      <c r="J484" s="9" t="n">
        <f aca="false">H484/I484</f>
        <v>0.443562730879737</v>
      </c>
      <c r="K484" s="10" t="n">
        <v>0.196</v>
      </c>
      <c r="L484" s="8" t="n">
        <v>6435</v>
      </c>
      <c r="M484" s="9" t="n">
        <f aca="false">L484/I484</f>
        <v>0.440210699138049</v>
      </c>
      <c r="N484" s="8" t="n">
        <v>6902</v>
      </c>
      <c r="O484" s="2" t="n">
        <v>0.5</v>
      </c>
      <c r="P484" s="2" t="n">
        <v>0.3</v>
      </c>
      <c r="Q484" s="10" t="n">
        <f aca="false">L484/H484-1</f>
        <v>-0.00755706354102403</v>
      </c>
      <c r="R484" s="10" t="n">
        <f aca="false">ABS(Q484)</f>
        <v>0.00755706354102403</v>
      </c>
      <c r="S484" s="2" t="s">
        <v>316</v>
      </c>
      <c r="T484" s="2" t="n">
        <v>0.25</v>
      </c>
      <c r="U484" s="2" t="n">
        <v>1.007</v>
      </c>
    </row>
    <row r="485" customFormat="false" ht="15" hidden="false" customHeight="false" outlineLevel="0" collapsed="false">
      <c r="A485" s="2" t="s">
        <v>360</v>
      </c>
      <c r="B485" s="2" t="s">
        <v>62</v>
      </c>
      <c r="C485" s="2" t="s">
        <v>200</v>
      </c>
      <c r="D485" s="2" t="s">
        <v>193</v>
      </c>
      <c r="E485" s="2" t="n">
        <v>31</v>
      </c>
      <c r="F485" s="2" t="s">
        <v>367</v>
      </c>
      <c r="G485" s="2" t="s">
        <v>369</v>
      </c>
      <c r="H485" s="8" t="n">
        <v>6599</v>
      </c>
      <c r="I485" s="8" t="n">
        <v>14950</v>
      </c>
      <c r="J485" s="9" t="n">
        <f aca="false">H485/I485</f>
        <v>0.441404682274248</v>
      </c>
      <c r="K485" s="10" t="n">
        <v>0.171</v>
      </c>
      <c r="L485" s="8" t="n">
        <v>6044</v>
      </c>
      <c r="M485" s="9" t="n">
        <f aca="false">L485/I485</f>
        <v>0.404280936454849</v>
      </c>
      <c r="N485" s="8" t="n">
        <v>5724</v>
      </c>
      <c r="O485" s="2" t="n">
        <v>0.5</v>
      </c>
      <c r="P485" s="2" t="n">
        <v>0.3</v>
      </c>
      <c r="Q485" s="10" t="n">
        <f aca="false">L485/H485-1</f>
        <v>-0.0841036520684952</v>
      </c>
      <c r="R485" s="10" t="n">
        <f aca="false">ABS(Q485)</f>
        <v>0.0841036520684952</v>
      </c>
      <c r="S485" s="2" t="s">
        <v>316</v>
      </c>
      <c r="T485" s="2" t="n">
        <v>0.3</v>
      </c>
      <c r="U485" s="2" t="n">
        <v>1.25</v>
      </c>
    </row>
    <row r="486" customFormat="false" ht="15" hidden="false" customHeight="false" outlineLevel="0" collapsed="false">
      <c r="A486" s="2" t="s">
        <v>360</v>
      </c>
      <c r="B486" s="2" t="s">
        <v>63</v>
      </c>
      <c r="C486" s="2" t="s">
        <v>200</v>
      </c>
      <c r="D486" s="2" t="s">
        <v>193</v>
      </c>
      <c r="E486" s="2" t="n">
        <v>30</v>
      </c>
      <c r="F486" s="2" t="s">
        <v>366</v>
      </c>
      <c r="G486" s="2" t="s">
        <v>365</v>
      </c>
      <c r="H486" s="8" t="n">
        <v>8255</v>
      </c>
      <c r="I486" s="8" t="n">
        <v>20241</v>
      </c>
      <c r="J486" s="9" t="n">
        <f aca="false">H486/I486</f>
        <v>0.407835581245986</v>
      </c>
      <c r="K486" s="10" t="n">
        <v>0.19</v>
      </c>
      <c r="L486" s="8" t="n">
        <v>8194</v>
      </c>
      <c r="M486" s="9" t="n">
        <f aca="false">L486/I486</f>
        <v>0.404821896151376</v>
      </c>
      <c r="N486" s="8" t="n">
        <v>8093</v>
      </c>
      <c r="O486" s="2" t="n">
        <v>0.5</v>
      </c>
      <c r="P486" s="2" t="n">
        <v>0.3</v>
      </c>
      <c r="Q486" s="10" t="n">
        <f aca="false">L486/H486-1</f>
        <v>-0.00738946093276804</v>
      </c>
      <c r="R486" s="10" t="n">
        <f aca="false">ABS(Q486)</f>
        <v>0.00738946093276804</v>
      </c>
      <c r="S486" s="2" t="s">
        <v>316</v>
      </c>
      <c r="T486" s="2" t="n">
        <v>0.27</v>
      </c>
      <c r="U486" s="2" t="n">
        <v>1.117</v>
      </c>
    </row>
    <row r="487" customFormat="false" ht="15" hidden="false" customHeight="false" outlineLevel="0" collapsed="false">
      <c r="A487" s="2" t="s">
        <v>360</v>
      </c>
      <c r="B487" s="2" t="s">
        <v>64</v>
      </c>
      <c r="C487" s="2" t="s">
        <v>200</v>
      </c>
      <c r="D487" s="2" t="s">
        <v>193</v>
      </c>
      <c r="E487" s="2" t="n">
        <v>31</v>
      </c>
      <c r="F487" s="2" t="s">
        <v>366</v>
      </c>
      <c r="G487" s="2" t="s">
        <v>365</v>
      </c>
      <c r="H487" s="8" t="n">
        <v>9990</v>
      </c>
      <c r="I487" s="8" t="n">
        <v>27037</v>
      </c>
      <c r="J487" s="9" t="n">
        <f aca="false">H487/I487</f>
        <v>0.369493656840626</v>
      </c>
      <c r="K487" s="10" t="n">
        <v>0.153</v>
      </c>
      <c r="L487" s="8" t="n">
        <v>11515</v>
      </c>
      <c r="M487" s="9" t="n">
        <f aca="false">L487/I487</f>
        <v>0.425897843695676</v>
      </c>
      <c r="N487" s="8" t="n">
        <v>10309</v>
      </c>
      <c r="O487" s="2" t="n">
        <v>0.5</v>
      </c>
      <c r="P487" s="2" t="n">
        <v>0.3</v>
      </c>
      <c r="Q487" s="10" t="n">
        <f aca="false">L487/H487-1</f>
        <v>0.152652652652653</v>
      </c>
      <c r="R487" s="10" t="n">
        <f aca="false">ABS(Q487)</f>
        <v>0.152652652652653</v>
      </c>
      <c r="S487" s="2" t="s">
        <v>316</v>
      </c>
      <c r="T487" s="2" t="n">
        <v>0.26</v>
      </c>
      <c r="U487" s="2" t="n">
        <v>1.04</v>
      </c>
    </row>
    <row r="488" customFormat="false" ht="15" hidden="false" customHeight="false" outlineLevel="0" collapsed="false">
      <c r="A488" s="2" t="s">
        <v>360</v>
      </c>
      <c r="B488" s="2" t="s">
        <v>65</v>
      </c>
      <c r="C488" s="2" t="s">
        <v>200</v>
      </c>
      <c r="D488" s="2" t="s">
        <v>193</v>
      </c>
      <c r="E488" s="2" t="n">
        <v>30</v>
      </c>
      <c r="F488" s="2" t="s">
        <v>368</v>
      </c>
      <c r="G488" s="2" t="s">
        <v>365</v>
      </c>
      <c r="H488" s="8" t="n">
        <v>11786</v>
      </c>
      <c r="I488" s="8" t="n">
        <v>33103</v>
      </c>
      <c r="J488" s="9" t="n">
        <f aca="false">H488/I488</f>
        <v>0.35604023804489</v>
      </c>
      <c r="K488" s="10" t="n">
        <v>0.141</v>
      </c>
      <c r="L488" s="8" t="n">
        <v>13636</v>
      </c>
      <c r="M488" s="9" t="n">
        <f aca="false">L488/I488</f>
        <v>0.411926411503489</v>
      </c>
      <c r="N488" s="8" t="n">
        <v>12102</v>
      </c>
      <c r="O488" s="2" t="n">
        <v>0.5</v>
      </c>
      <c r="P488" s="2" t="n">
        <v>0.3</v>
      </c>
      <c r="Q488" s="10" t="n">
        <f aca="false">L488/H488-1</f>
        <v>0.156965891735958</v>
      </c>
      <c r="R488" s="10" t="n">
        <f aca="false">ABS(Q488)</f>
        <v>0.156965891735958</v>
      </c>
      <c r="S488" s="2" t="s">
        <v>316</v>
      </c>
      <c r="T488" s="2" t="n">
        <v>0.2</v>
      </c>
      <c r="U488" s="2" t="n">
        <v>0.978</v>
      </c>
    </row>
    <row r="489" customFormat="false" ht="15" hidden="false" customHeight="false" outlineLevel="0" collapsed="false">
      <c r="A489" s="2" t="s">
        <v>360</v>
      </c>
      <c r="B489" s="2" t="s">
        <v>66</v>
      </c>
      <c r="C489" s="2" t="s">
        <v>200</v>
      </c>
      <c r="D489" s="2" t="s">
        <v>193</v>
      </c>
      <c r="E489" s="2" t="n">
        <v>31</v>
      </c>
      <c r="F489" s="2" t="s">
        <v>370</v>
      </c>
      <c r="G489" s="2" t="s">
        <v>371</v>
      </c>
      <c r="H489" s="8" t="n">
        <v>12893</v>
      </c>
      <c r="I489" s="8" t="n">
        <v>36162</v>
      </c>
      <c r="J489" s="9" t="n">
        <f aca="false">H489/I489</f>
        <v>0.356534483712184</v>
      </c>
      <c r="K489" s="10" t="n">
        <v>0.13</v>
      </c>
      <c r="L489" s="8" t="n">
        <v>14874</v>
      </c>
      <c r="M489" s="9" t="n">
        <f aca="false">L489/I489</f>
        <v>0.411315745810519</v>
      </c>
      <c r="N489" s="8" t="n">
        <v>13173</v>
      </c>
      <c r="O489" s="2" t="n">
        <v>0.5</v>
      </c>
      <c r="P489" s="2" t="n">
        <v>0.3</v>
      </c>
      <c r="Q489" s="10" t="n">
        <f aca="false">L489/H489-1</f>
        <v>0.153649267044133</v>
      </c>
      <c r="R489" s="10" t="n">
        <f aca="false">ABS(Q489)</f>
        <v>0.153649267044133</v>
      </c>
      <c r="S489" s="2" t="s">
        <v>316</v>
      </c>
      <c r="T489" s="2" t="n">
        <v>0.2</v>
      </c>
      <c r="U489" s="2" t="n">
        <v>0.927</v>
      </c>
    </row>
    <row r="490" customFormat="false" ht="15" hidden="false" customHeight="false" outlineLevel="0" collapsed="false">
      <c r="A490" s="2" t="s">
        <v>360</v>
      </c>
      <c r="B490" s="2" t="s">
        <v>67</v>
      </c>
      <c r="C490" s="2" t="s">
        <v>200</v>
      </c>
      <c r="D490" s="2" t="s">
        <v>193</v>
      </c>
      <c r="E490" s="2" t="n">
        <v>31</v>
      </c>
      <c r="F490" s="2" t="s">
        <v>372</v>
      </c>
      <c r="G490" s="2" t="s">
        <v>371</v>
      </c>
      <c r="H490" s="8" t="n">
        <v>13250</v>
      </c>
      <c r="I490" s="8" t="n">
        <v>37761</v>
      </c>
      <c r="J490" s="9" t="n">
        <f aca="false">H490/I490</f>
        <v>0.350891131061148</v>
      </c>
      <c r="K490" s="10" t="n">
        <v>0.126</v>
      </c>
      <c r="L490" s="8" t="n">
        <v>13553</v>
      </c>
      <c r="M490" s="9" t="n">
        <f aca="false">L490/I490</f>
        <v>0.358915282963905</v>
      </c>
      <c r="N490" s="8" t="n">
        <v>12906</v>
      </c>
      <c r="O490" s="2" t="n">
        <v>0.5</v>
      </c>
      <c r="P490" s="2" t="n">
        <v>0.3</v>
      </c>
      <c r="Q490" s="10" t="n">
        <f aca="false">L490/H490-1</f>
        <v>0.0228679245283019</v>
      </c>
      <c r="R490" s="10" t="n">
        <f aca="false">ABS(Q490)</f>
        <v>0.0228679245283019</v>
      </c>
      <c r="S490" s="2" t="s">
        <v>316</v>
      </c>
      <c r="T490" s="2" t="n">
        <v>0.29</v>
      </c>
      <c r="U490" s="2" t="n">
        <v>1.046</v>
      </c>
    </row>
    <row r="491" customFormat="false" ht="15" hidden="false" customHeight="false" outlineLevel="0" collapsed="false">
      <c r="A491" s="2" t="s">
        <v>360</v>
      </c>
      <c r="B491" s="2" t="s">
        <v>68</v>
      </c>
      <c r="C491" s="2" t="s">
        <v>200</v>
      </c>
      <c r="D491" s="2" t="s">
        <v>193</v>
      </c>
      <c r="E491" s="2" t="n">
        <v>30</v>
      </c>
      <c r="F491" s="2" t="s">
        <v>372</v>
      </c>
      <c r="G491" s="2" t="s">
        <v>371</v>
      </c>
      <c r="H491" s="8" t="n">
        <v>13214</v>
      </c>
      <c r="I491" s="8" t="n">
        <v>36635</v>
      </c>
      <c r="J491" s="9" t="n">
        <f aca="false">H491/I491</f>
        <v>0.36069332605432</v>
      </c>
      <c r="K491" s="10" t="n">
        <v>0.122</v>
      </c>
      <c r="L491" s="8" t="n">
        <v>13585</v>
      </c>
      <c r="M491" s="9" t="n">
        <f aca="false">L491/I491</f>
        <v>0.370820253855603</v>
      </c>
      <c r="N491" s="8" t="n">
        <v>13318</v>
      </c>
      <c r="O491" s="2" t="n">
        <v>0.5</v>
      </c>
      <c r="P491" s="2" t="n">
        <v>0.3</v>
      </c>
      <c r="Q491" s="10" t="n">
        <f aca="false">L491/H491-1</f>
        <v>0.0280762827304375</v>
      </c>
      <c r="R491" s="10" t="n">
        <f aca="false">ABS(Q491)</f>
        <v>0.0280762827304375</v>
      </c>
      <c r="S491" s="2" t="s">
        <v>316</v>
      </c>
      <c r="T491" s="2" t="n">
        <v>0.27</v>
      </c>
      <c r="U491" s="2" t="n">
        <v>0.957</v>
      </c>
    </row>
    <row r="492" customFormat="false" ht="15" hidden="false" customHeight="false" outlineLevel="0" collapsed="false">
      <c r="A492" s="2" t="s">
        <v>373</v>
      </c>
      <c r="B492" s="2" t="s">
        <v>38</v>
      </c>
      <c r="C492" s="2" t="s">
        <v>200</v>
      </c>
      <c r="D492" s="2" t="s">
        <v>40</v>
      </c>
      <c r="E492" s="2" t="n">
        <v>23</v>
      </c>
      <c r="F492" s="2" t="s">
        <v>248</v>
      </c>
      <c r="G492" s="2" t="s">
        <v>249</v>
      </c>
      <c r="H492" s="8" t="n">
        <v>35782</v>
      </c>
      <c r="I492" s="8" t="n">
        <v>122995</v>
      </c>
      <c r="J492" s="9" t="n">
        <f aca="false">H492/I492</f>
        <v>0.290922395219318</v>
      </c>
      <c r="K492" s="10" t="n">
        <v>0.198</v>
      </c>
      <c r="L492" s="8" t="n">
        <v>38908</v>
      </c>
      <c r="M492" s="9" t="n">
        <f aca="false">L492/I492</f>
        <v>0.316338062522867</v>
      </c>
      <c r="N492" s="8" t="n">
        <v>38103</v>
      </c>
      <c r="O492" s="2" t="n">
        <v>0.63</v>
      </c>
      <c r="P492" s="2" t="n">
        <v>0.32</v>
      </c>
      <c r="Q492" s="10" t="n">
        <f aca="false">L492/H492-1</f>
        <v>0.0873623609636129</v>
      </c>
      <c r="R492" s="10" t="n">
        <f aca="false">ABS(Q492)</f>
        <v>0.0873623609636129</v>
      </c>
      <c r="S492" s="2" t="s">
        <v>43</v>
      </c>
      <c r="T492" s="2" t="n">
        <v>0.35</v>
      </c>
      <c r="U492" s="2" t="n">
        <v>1.045</v>
      </c>
    </row>
    <row r="493" customFormat="false" ht="15" hidden="false" customHeight="false" outlineLevel="0" collapsed="false">
      <c r="A493" s="2" t="s">
        <v>373</v>
      </c>
      <c r="B493" s="2" t="s">
        <v>44</v>
      </c>
      <c r="C493" s="2" t="s">
        <v>200</v>
      </c>
      <c r="D493" s="2" t="s">
        <v>40</v>
      </c>
      <c r="E493" s="2" t="n">
        <v>25</v>
      </c>
      <c r="F493" s="2" t="s">
        <v>248</v>
      </c>
      <c r="G493" s="2" t="s">
        <v>249</v>
      </c>
      <c r="H493" s="8" t="n">
        <v>40072</v>
      </c>
      <c r="I493" s="8" t="n">
        <v>132192</v>
      </c>
      <c r="J493" s="9" t="n">
        <f aca="false">H493/I493</f>
        <v>0.303134834180586</v>
      </c>
      <c r="K493" s="10" t="n">
        <v>0.245</v>
      </c>
      <c r="L493" s="8" t="n">
        <v>40572</v>
      </c>
      <c r="M493" s="9" t="n">
        <f aca="false">L493/I493</f>
        <v>0.306917211328976</v>
      </c>
      <c r="N493" s="8" t="n">
        <v>39937</v>
      </c>
      <c r="O493" s="2" t="n">
        <v>0.63</v>
      </c>
      <c r="P493" s="2" t="n">
        <v>0.32</v>
      </c>
      <c r="Q493" s="10" t="n">
        <f aca="false">L493/H493-1</f>
        <v>0.012477540427231</v>
      </c>
      <c r="R493" s="10" t="n">
        <f aca="false">ABS(Q493)</f>
        <v>0.012477540427231</v>
      </c>
      <c r="S493" s="2" t="s">
        <v>43</v>
      </c>
      <c r="T493" s="2" t="n">
        <v>0.39</v>
      </c>
      <c r="U493" s="2" t="n">
        <v>1.205</v>
      </c>
    </row>
    <row r="494" customFormat="false" ht="15" hidden="false" customHeight="false" outlineLevel="0" collapsed="false">
      <c r="A494" s="2" t="s">
        <v>373</v>
      </c>
      <c r="B494" s="2" t="s">
        <v>46</v>
      </c>
      <c r="C494" s="2" t="s">
        <v>200</v>
      </c>
      <c r="D494" s="2" t="s">
        <v>40</v>
      </c>
      <c r="E494" s="2" t="n">
        <v>31</v>
      </c>
      <c r="F494" s="2" t="s">
        <v>248</v>
      </c>
      <c r="G494" s="2" t="s">
        <v>249</v>
      </c>
      <c r="H494" s="8" t="n">
        <v>44645</v>
      </c>
      <c r="I494" s="8" t="n">
        <v>160072</v>
      </c>
      <c r="J494" s="9" t="n">
        <f aca="false">H494/I494</f>
        <v>0.278905742415913</v>
      </c>
      <c r="K494" s="10" t="n">
        <v>0.32</v>
      </c>
      <c r="L494" s="8" t="n">
        <v>49778</v>
      </c>
      <c r="M494" s="9" t="n">
        <f aca="false">L494/I494</f>
        <v>0.310972562346944</v>
      </c>
      <c r="N494" s="8" t="n">
        <v>48358</v>
      </c>
      <c r="O494" s="2" t="n">
        <v>0.63</v>
      </c>
      <c r="P494" s="2" t="n">
        <v>0.32</v>
      </c>
      <c r="Q494" s="10" t="n">
        <f aca="false">L494/H494-1</f>
        <v>0.114973681263299</v>
      </c>
      <c r="R494" s="10" t="n">
        <f aca="false">ABS(Q494)</f>
        <v>0.114973681263299</v>
      </c>
      <c r="S494" s="2" t="s">
        <v>43</v>
      </c>
      <c r="T494" s="2" t="n">
        <v>0.37</v>
      </c>
      <c r="U494" s="2" t="n">
        <v>0.99</v>
      </c>
    </row>
    <row r="495" customFormat="false" ht="15" hidden="false" customHeight="false" outlineLevel="0" collapsed="false">
      <c r="A495" s="2" t="s">
        <v>373</v>
      </c>
      <c r="B495" s="2" t="s">
        <v>48</v>
      </c>
      <c r="C495" s="2" t="s">
        <v>200</v>
      </c>
      <c r="D495" s="2" t="s">
        <v>40</v>
      </c>
      <c r="E495" s="2" t="n">
        <v>30</v>
      </c>
      <c r="F495" s="2" t="s">
        <v>374</v>
      </c>
      <c r="G495" s="2" t="s">
        <v>249</v>
      </c>
      <c r="H495" s="8" t="n">
        <v>67945</v>
      </c>
      <c r="I495" s="8" t="n">
        <v>232474</v>
      </c>
      <c r="J495" s="9" t="n">
        <f aca="false">H495/I495</f>
        <v>0.292269243012122</v>
      </c>
      <c r="K495" s="10" t="n">
        <v>0.35</v>
      </c>
      <c r="L495" s="8" t="n">
        <v>69315</v>
      </c>
      <c r="M495" s="9" t="n">
        <f aca="false">L495/I495</f>
        <v>0.298162375147328</v>
      </c>
      <c r="N495" s="8" t="n">
        <v>68289</v>
      </c>
      <c r="O495" s="2" t="n">
        <v>0.72</v>
      </c>
      <c r="P495" s="2" t="n">
        <v>0.35</v>
      </c>
      <c r="Q495" s="10" t="n">
        <f aca="false">L495/H495-1</f>
        <v>0.0201633674295385</v>
      </c>
      <c r="R495" s="10" t="n">
        <f aca="false">ABS(Q495)</f>
        <v>0.0201633674295385</v>
      </c>
      <c r="S495" s="2" t="s">
        <v>43</v>
      </c>
      <c r="T495" s="2" t="n">
        <v>0.43</v>
      </c>
      <c r="U495" s="2" t="n">
        <v>1.25</v>
      </c>
    </row>
    <row r="496" customFormat="false" ht="15" hidden="false" customHeight="false" outlineLevel="0" collapsed="false">
      <c r="A496" s="2" t="s">
        <v>373</v>
      </c>
      <c r="B496" s="2" t="s">
        <v>76</v>
      </c>
      <c r="C496" s="2" t="s">
        <v>200</v>
      </c>
      <c r="D496" s="2" t="s">
        <v>40</v>
      </c>
      <c r="E496" s="2" t="n">
        <v>28</v>
      </c>
      <c r="F496" s="2" t="s">
        <v>375</v>
      </c>
      <c r="G496" s="2" t="s">
        <v>249</v>
      </c>
      <c r="H496" s="8" t="n">
        <v>88660</v>
      </c>
      <c r="I496" s="8" t="n">
        <v>311329</v>
      </c>
      <c r="J496" s="9" t="n">
        <f aca="false">H496/I496</f>
        <v>0.284779124334707</v>
      </c>
      <c r="K496" s="10" t="n">
        <v>0.325</v>
      </c>
      <c r="L496" s="8" t="n">
        <v>90002</v>
      </c>
      <c r="M496" s="9" t="n">
        <f aca="false">L496/I496</f>
        <v>0.289089676837044</v>
      </c>
      <c r="N496" s="8" t="n">
        <v>89610</v>
      </c>
      <c r="O496" s="2" t="n">
        <v>0.72</v>
      </c>
      <c r="P496" s="2" t="n">
        <v>0.35</v>
      </c>
      <c r="Q496" s="10" t="n">
        <f aca="false">L496/H496-1</f>
        <v>0.0151364764267989</v>
      </c>
      <c r="R496" s="10" t="n">
        <f aca="false">ABS(Q496)</f>
        <v>0.0151364764267989</v>
      </c>
      <c r="S496" s="2" t="s">
        <v>43</v>
      </c>
      <c r="T496" s="2" t="n">
        <v>0.47</v>
      </c>
      <c r="U496" s="2" t="n">
        <v>1.166</v>
      </c>
    </row>
    <row r="497" customFormat="false" ht="15" hidden="false" customHeight="false" outlineLevel="0" collapsed="false">
      <c r="A497" s="2" t="s">
        <v>373</v>
      </c>
      <c r="B497" s="2" t="s">
        <v>50</v>
      </c>
      <c r="C497" s="2" t="s">
        <v>200</v>
      </c>
      <c r="D497" s="2" t="s">
        <v>40</v>
      </c>
      <c r="E497" s="2" t="n">
        <v>29</v>
      </c>
      <c r="F497" s="2" t="s">
        <v>376</v>
      </c>
      <c r="G497" s="2" t="s">
        <v>249</v>
      </c>
      <c r="H497" s="8" t="n">
        <v>97159</v>
      </c>
      <c r="I497" s="8" t="n">
        <v>344456</v>
      </c>
      <c r="J497" s="9" t="n">
        <f aca="false">H497/I497</f>
        <v>0.282065053301438</v>
      </c>
      <c r="K497" s="10" t="n">
        <v>0.293</v>
      </c>
      <c r="L497" s="8" t="n">
        <v>99958</v>
      </c>
      <c r="M497" s="9" t="n">
        <f aca="false">L497/I497</f>
        <v>0.290190909724319</v>
      </c>
      <c r="N497" s="8" t="n">
        <v>99296</v>
      </c>
      <c r="O497" s="2" t="n">
        <v>0.72</v>
      </c>
      <c r="P497" s="2" t="n">
        <v>0.35</v>
      </c>
      <c r="Q497" s="10" t="n">
        <f aca="false">L497/H497-1</f>
        <v>0.0288084480079045</v>
      </c>
      <c r="R497" s="10" t="n">
        <f aca="false">ABS(Q497)</f>
        <v>0.0288084480079045</v>
      </c>
      <c r="S497" s="2" t="s">
        <v>43</v>
      </c>
      <c r="T497" s="2" t="n">
        <v>0.47</v>
      </c>
      <c r="U497" s="2" t="n">
        <v>1.126</v>
      </c>
    </row>
    <row r="498" customFormat="false" ht="15" hidden="false" customHeight="false" outlineLevel="0" collapsed="false">
      <c r="A498" s="2" t="s">
        <v>373</v>
      </c>
      <c r="B498" s="2" t="s">
        <v>52</v>
      </c>
      <c r="C498" s="2" t="s">
        <v>200</v>
      </c>
      <c r="D498" s="2" t="s">
        <v>40</v>
      </c>
      <c r="E498" s="2" t="n">
        <v>31</v>
      </c>
      <c r="F498" s="2" t="s">
        <v>375</v>
      </c>
      <c r="G498" s="2" t="s">
        <v>249</v>
      </c>
      <c r="H498" s="8" t="n">
        <v>126733</v>
      </c>
      <c r="I498" s="8" t="n">
        <v>463126</v>
      </c>
      <c r="J498" s="9" t="n">
        <f aca="false">H498/I498</f>
        <v>0.273646912503293</v>
      </c>
      <c r="K498" s="10" t="n">
        <v>0.237</v>
      </c>
      <c r="L498" s="8" t="n">
        <v>132345</v>
      </c>
      <c r="M498" s="9" t="n">
        <f aca="false">L498/I498</f>
        <v>0.285764565150737</v>
      </c>
      <c r="N498" s="8" t="n">
        <v>132357</v>
      </c>
      <c r="O498" s="2" t="n">
        <v>0.76</v>
      </c>
      <c r="P498" s="2" t="n">
        <v>0.39</v>
      </c>
      <c r="Q498" s="10" t="n">
        <f aca="false">L498/H498-1</f>
        <v>0.0442820733352798</v>
      </c>
      <c r="R498" s="10" t="n">
        <f aca="false">ABS(Q498)</f>
        <v>0.0442820733352798</v>
      </c>
      <c r="S498" s="2" t="s">
        <v>43</v>
      </c>
      <c r="T498" s="2" t="n">
        <v>0.53</v>
      </c>
      <c r="U498" s="2" t="n">
        <v>1.035</v>
      </c>
    </row>
    <row r="499" customFormat="false" ht="15" hidden="false" customHeight="false" outlineLevel="0" collapsed="false">
      <c r="A499" s="2" t="s">
        <v>373</v>
      </c>
      <c r="B499" s="2" t="s">
        <v>53</v>
      </c>
      <c r="C499" s="2" t="s">
        <v>200</v>
      </c>
      <c r="D499" s="2" t="s">
        <v>40</v>
      </c>
      <c r="E499" s="2" t="n">
        <v>31</v>
      </c>
      <c r="F499" s="2" t="s">
        <v>375</v>
      </c>
      <c r="G499" s="2" t="s">
        <v>249</v>
      </c>
      <c r="H499" s="8" t="n">
        <v>143756</v>
      </c>
      <c r="I499" s="8" t="n">
        <v>524560</v>
      </c>
      <c r="J499" s="9" t="n">
        <f aca="false">H499/I499</f>
        <v>0.274050632911392</v>
      </c>
      <c r="K499" s="10" t="n">
        <v>0.214</v>
      </c>
      <c r="L499" s="8" t="n">
        <v>149584</v>
      </c>
      <c r="M499" s="9" t="n">
        <f aca="false">L499/I499</f>
        <v>0.285160896751563</v>
      </c>
      <c r="N499" s="8" t="n">
        <v>149142</v>
      </c>
      <c r="O499" s="2" t="n">
        <v>0.76</v>
      </c>
      <c r="P499" s="2" t="n">
        <v>0.39</v>
      </c>
      <c r="Q499" s="10" t="n">
        <f aca="false">L499/H499-1</f>
        <v>0.0405409165530481</v>
      </c>
      <c r="R499" s="10" t="n">
        <f aca="false">ABS(Q499)</f>
        <v>0.0405409165530481</v>
      </c>
      <c r="S499" s="2" t="s">
        <v>43</v>
      </c>
      <c r="T499" s="2" t="n">
        <v>0.55</v>
      </c>
      <c r="U499" s="2" t="n">
        <v>1.25</v>
      </c>
    </row>
    <row r="500" customFormat="false" ht="15" hidden="false" customHeight="false" outlineLevel="0" collapsed="false">
      <c r="A500" s="2" t="s">
        <v>373</v>
      </c>
      <c r="B500" s="2" t="s">
        <v>54</v>
      </c>
      <c r="C500" s="2" t="s">
        <v>200</v>
      </c>
      <c r="D500" s="2" t="s">
        <v>40</v>
      </c>
      <c r="E500" s="2" t="n">
        <v>30</v>
      </c>
      <c r="F500" s="2" t="s">
        <v>375</v>
      </c>
      <c r="G500" s="2" t="s">
        <v>249</v>
      </c>
      <c r="H500" s="8" t="n">
        <v>112056</v>
      </c>
      <c r="I500" s="8" t="n">
        <v>406282</v>
      </c>
      <c r="J500" s="9" t="n">
        <f aca="false">H500/I500</f>
        <v>0.275808428628391</v>
      </c>
      <c r="K500" s="10" t="n">
        <v>0.237</v>
      </c>
      <c r="L500" s="8" t="n">
        <v>116657</v>
      </c>
      <c r="M500" s="9" t="n">
        <f aca="false">L500/I500</f>
        <v>0.287133075056242</v>
      </c>
      <c r="N500" s="8" t="n">
        <v>116936</v>
      </c>
      <c r="O500" s="2" t="n">
        <v>0.76</v>
      </c>
      <c r="P500" s="2" t="n">
        <v>0.39</v>
      </c>
      <c r="Q500" s="10" t="n">
        <f aca="false">L500/H500-1</f>
        <v>0.0410598272292426</v>
      </c>
      <c r="R500" s="10" t="n">
        <f aca="false">ABS(Q500)</f>
        <v>0.0410598272292426</v>
      </c>
      <c r="S500" s="2" t="s">
        <v>43</v>
      </c>
      <c r="T500" s="2" t="n">
        <v>0.53</v>
      </c>
      <c r="U500" s="2" t="n">
        <v>0.967</v>
      </c>
    </row>
    <row r="501" customFormat="false" ht="15" hidden="false" customHeight="false" outlineLevel="0" collapsed="false">
      <c r="A501" s="2" t="s">
        <v>373</v>
      </c>
      <c r="B501" s="2" t="s">
        <v>57</v>
      </c>
      <c r="C501" s="2" t="s">
        <v>200</v>
      </c>
      <c r="D501" s="2" t="s">
        <v>40</v>
      </c>
      <c r="E501" s="2" t="n">
        <v>31</v>
      </c>
      <c r="F501" s="2" t="s">
        <v>375</v>
      </c>
      <c r="G501" s="2" t="s">
        <v>249</v>
      </c>
      <c r="H501" s="8" t="n">
        <v>84678</v>
      </c>
      <c r="I501" s="8" t="n">
        <v>301285</v>
      </c>
      <c r="J501" s="9" t="n">
        <f aca="false">H501/I501</f>
        <v>0.281056142854772</v>
      </c>
      <c r="K501" s="10" t="n">
        <v>0.271</v>
      </c>
      <c r="L501" s="8" t="n">
        <v>87529</v>
      </c>
      <c r="M501" s="9" t="n">
        <f aca="false">L501/I501</f>
        <v>0.290518943857145</v>
      </c>
      <c r="N501" s="8" t="n">
        <v>88123</v>
      </c>
      <c r="O501" s="2" t="n">
        <v>0.71</v>
      </c>
      <c r="P501" s="2" t="n">
        <v>0.36</v>
      </c>
      <c r="Q501" s="10" t="n">
        <f aca="false">L501/H501-1</f>
        <v>0.0336687215097191</v>
      </c>
      <c r="R501" s="10" t="n">
        <f aca="false">ABS(Q501)</f>
        <v>0.0336687215097191</v>
      </c>
      <c r="S501" s="2" t="s">
        <v>43</v>
      </c>
      <c r="T501" s="2" t="n">
        <v>0.46</v>
      </c>
      <c r="U501" s="2" t="n">
        <v>1.049</v>
      </c>
    </row>
    <row r="502" customFormat="false" ht="15" hidden="false" customHeight="false" outlineLevel="0" collapsed="false">
      <c r="A502" s="2" t="s">
        <v>373</v>
      </c>
      <c r="B502" s="2" t="s">
        <v>58</v>
      </c>
      <c r="C502" s="2" t="s">
        <v>200</v>
      </c>
      <c r="D502" s="2" t="s">
        <v>40</v>
      </c>
      <c r="E502" s="2" t="n">
        <v>30</v>
      </c>
      <c r="F502" s="2" t="s">
        <v>375</v>
      </c>
      <c r="G502" s="2" t="s">
        <v>249</v>
      </c>
      <c r="H502" s="8" t="n">
        <v>53195</v>
      </c>
      <c r="I502" s="8" t="n">
        <v>185269</v>
      </c>
      <c r="J502" s="9" t="n">
        <f aca="false">H502/I502</f>
        <v>0.287123048108426</v>
      </c>
      <c r="K502" s="10" t="n">
        <v>0.279</v>
      </c>
      <c r="L502" s="8" t="n">
        <v>55655</v>
      </c>
      <c r="M502" s="9" t="n">
        <f aca="false">L502/I502</f>
        <v>0.300401038489979</v>
      </c>
      <c r="N502" s="8" t="n">
        <v>56172</v>
      </c>
      <c r="O502" s="2" t="n">
        <v>0.71</v>
      </c>
      <c r="P502" s="2" t="n">
        <v>0.36</v>
      </c>
      <c r="Q502" s="10" t="n">
        <f aca="false">L502/H502-1</f>
        <v>0.046244947833443</v>
      </c>
      <c r="R502" s="10" t="n">
        <f aca="false">ABS(Q502)</f>
        <v>0.046244947833443</v>
      </c>
      <c r="S502" s="2" t="s">
        <v>43</v>
      </c>
      <c r="T502" s="2" t="n">
        <v>0.38</v>
      </c>
      <c r="U502" s="2" t="n">
        <v>1.017</v>
      </c>
    </row>
    <row r="503" customFormat="false" ht="15" hidden="false" customHeight="false" outlineLevel="0" collapsed="false">
      <c r="A503" s="2" t="s">
        <v>373</v>
      </c>
      <c r="B503" s="2" t="s">
        <v>59</v>
      </c>
      <c r="C503" s="2" t="s">
        <v>200</v>
      </c>
      <c r="D503" s="2" t="s">
        <v>40</v>
      </c>
      <c r="E503" s="2" t="n">
        <v>31</v>
      </c>
      <c r="F503" s="2" t="s">
        <v>376</v>
      </c>
      <c r="G503" s="2" t="s">
        <v>249</v>
      </c>
      <c r="H503" s="8" t="n">
        <v>47390</v>
      </c>
      <c r="I503" s="8" t="n">
        <v>158897</v>
      </c>
      <c r="J503" s="9" t="n">
        <f aca="false">H503/I503</f>
        <v>0.29824351624008</v>
      </c>
      <c r="K503" s="10" t="n">
        <v>0.228</v>
      </c>
      <c r="L503" s="8" t="n">
        <v>48796</v>
      </c>
      <c r="M503" s="9" t="n">
        <f aca="false">L503/I503</f>
        <v>0.307092015582421</v>
      </c>
      <c r="N503" s="8" t="n">
        <v>49081</v>
      </c>
      <c r="O503" s="2" t="n">
        <v>0.71</v>
      </c>
      <c r="P503" s="2" t="n">
        <v>0.36</v>
      </c>
      <c r="Q503" s="10" t="n">
        <f aca="false">L503/H503-1</f>
        <v>0.02966870647816</v>
      </c>
      <c r="R503" s="10" t="n">
        <f aca="false">ABS(Q503)</f>
        <v>0.02966870647816</v>
      </c>
      <c r="S503" s="2" t="s">
        <v>43</v>
      </c>
      <c r="T503" s="2" t="n">
        <v>0.34</v>
      </c>
      <c r="U503" s="2" t="n">
        <v>1.038</v>
      </c>
    </row>
    <row r="504" customFormat="false" ht="15" hidden="false" customHeight="false" outlineLevel="0" collapsed="false">
      <c r="A504" s="2" t="s">
        <v>373</v>
      </c>
      <c r="B504" s="2" t="s">
        <v>60</v>
      </c>
      <c r="C504" s="2" t="s">
        <v>200</v>
      </c>
      <c r="D504" s="2" t="s">
        <v>40</v>
      </c>
      <c r="E504" s="2" t="n">
        <v>31</v>
      </c>
      <c r="F504" s="2" t="s">
        <v>377</v>
      </c>
      <c r="G504" s="2" t="s">
        <v>249</v>
      </c>
      <c r="H504" s="8" t="n">
        <v>44732</v>
      </c>
      <c r="I504" s="8" t="n">
        <v>155349</v>
      </c>
      <c r="J504" s="9" t="n">
        <f aca="false">H504/I504</f>
        <v>0.287945207243046</v>
      </c>
      <c r="K504" s="10" t="n">
        <v>0.198</v>
      </c>
      <c r="L504" s="8" t="n">
        <v>48192</v>
      </c>
      <c r="M504" s="9" t="n">
        <f aca="false">L504/I504</f>
        <v>0.310217638993492</v>
      </c>
      <c r="N504" s="8" t="n">
        <v>47336</v>
      </c>
      <c r="O504" s="2" t="n">
        <v>0.61</v>
      </c>
      <c r="P504" s="2" t="n">
        <v>0.33</v>
      </c>
      <c r="Q504" s="10" t="n">
        <f aca="false">L504/H504-1</f>
        <v>0.0773495484217115</v>
      </c>
      <c r="R504" s="10" t="n">
        <f aca="false">ABS(Q504)</f>
        <v>0.0773495484217115</v>
      </c>
      <c r="S504" s="2" t="s">
        <v>43</v>
      </c>
      <c r="T504" s="2" t="n">
        <v>0.32</v>
      </c>
      <c r="U504" s="2" t="n">
        <v>1.046</v>
      </c>
    </row>
    <row r="505" customFormat="false" ht="15" hidden="false" customHeight="false" outlineLevel="0" collapsed="false">
      <c r="A505" s="2" t="s">
        <v>373</v>
      </c>
      <c r="B505" s="2" t="s">
        <v>61</v>
      </c>
      <c r="C505" s="2" t="s">
        <v>200</v>
      </c>
      <c r="D505" s="2" t="s">
        <v>40</v>
      </c>
      <c r="E505" s="2" t="n">
        <v>28</v>
      </c>
      <c r="F505" s="2" t="s">
        <v>377</v>
      </c>
      <c r="G505" s="2" t="s">
        <v>249</v>
      </c>
      <c r="H505" s="8" t="n">
        <v>43393</v>
      </c>
      <c r="I505" s="8" t="n">
        <v>153310</v>
      </c>
      <c r="J505" s="9" t="n">
        <f aca="false">H505/I505</f>
        <v>0.283040897527885</v>
      </c>
      <c r="K505" s="10" t="n">
        <v>0.249</v>
      </c>
      <c r="L505" s="8" t="n">
        <v>47274</v>
      </c>
      <c r="M505" s="9" t="n">
        <f aca="false">L505/I505</f>
        <v>0.308355619333377</v>
      </c>
      <c r="N505" s="8" t="n">
        <v>46550</v>
      </c>
      <c r="O505" s="2" t="n">
        <v>0.61</v>
      </c>
      <c r="P505" s="2" t="n">
        <v>0.33</v>
      </c>
      <c r="Q505" s="10" t="n">
        <f aca="false">L505/H505-1</f>
        <v>0.0894383886802019</v>
      </c>
      <c r="R505" s="10" t="n">
        <f aca="false">ABS(Q505)</f>
        <v>0.0894383886802019</v>
      </c>
      <c r="S505" s="2" t="s">
        <v>43</v>
      </c>
      <c r="T505" s="2" t="n">
        <v>0.33</v>
      </c>
      <c r="U505" s="2" t="n">
        <v>1</v>
      </c>
    </row>
    <row r="506" customFormat="false" ht="15" hidden="false" customHeight="false" outlineLevel="0" collapsed="false">
      <c r="A506" s="2" t="s">
        <v>373</v>
      </c>
      <c r="B506" s="2" t="s">
        <v>62</v>
      </c>
      <c r="C506" s="2" t="s">
        <v>200</v>
      </c>
      <c r="D506" s="2" t="s">
        <v>40</v>
      </c>
      <c r="E506" s="2" t="n">
        <v>31</v>
      </c>
      <c r="F506" s="2" t="s">
        <v>378</v>
      </c>
      <c r="G506" s="2" t="s">
        <v>249</v>
      </c>
      <c r="H506" s="8" t="n">
        <v>57623</v>
      </c>
      <c r="I506" s="8" t="n">
        <v>199117</v>
      </c>
      <c r="J506" s="9" t="n">
        <f aca="false">H506/I506</f>
        <v>0.28939266863201</v>
      </c>
      <c r="K506" s="10" t="n">
        <v>0.277</v>
      </c>
      <c r="L506" s="8" t="n">
        <v>59937</v>
      </c>
      <c r="M506" s="9" t="n">
        <f aca="false">L506/I506</f>
        <v>0.301013976707162</v>
      </c>
      <c r="N506" s="8" t="n">
        <v>59809</v>
      </c>
      <c r="O506" s="2" t="n">
        <v>0.61</v>
      </c>
      <c r="P506" s="2" t="n">
        <v>0.33</v>
      </c>
      <c r="Q506" s="10" t="n">
        <f aca="false">L506/H506-1</f>
        <v>0.0401575759679296</v>
      </c>
      <c r="R506" s="10" t="n">
        <f aca="false">ABS(Q506)</f>
        <v>0.0401575759679296</v>
      </c>
      <c r="S506" s="2" t="s">
        <v>43</v>
      </c>
      <c r="T506" s="2" t="n">
        <v>0.36</v>
      </c>
      <c r="U506" s="2" t="n">
        <v>1.045</v>
      </c>
    </row>
    <row r="507" customFormat="false" ht="15" hidden="false" customHeight="false" outlineLevel="0" collapsed="false">
      <c r="A507" s="2" t="s">
        <v>373</v>
      </c>
      <c r="B507" s="2" t="s">
        <v>63</v>
      </c>
      <c r="C507" s="2" t="s">
        <v>200</v>
      </c>
      <c r="D507" s="2" t="s">
        <v>40</v>
      </c>
      <c r="E507" s="2" t="n">
        <v>30</v>
      </c>
      <c r="F507" s="2" t="s">
        <v>379</v>
      </c>
      <c r="G507" s="2" t="s">
        <v>249</v>
      </c>
      <c r="H507" s="8" t="n">
        <v>58488</v>
      </c>
      <c r="I507" s="8" t="n">
        <v>203776</v>
      </c>
      <c r="J507" s="9" t="n">
        <f aca="false">H507/I507</f>
        <v>0.287021042713568</v>
      </c>
      <c r="K507" s="10" t="n">
        <v>0.312</v>
      </c>
      <c r="L507" s="8" t="n">
        <v>61271</v>
      </c>
      <c r="M507" s="9" t="n">
        <f aca="false">L507/I507</f>
        <v>0.300678195665829</v>
      </c>
      <c r="N507" s="8" t="n">
        <v>60880</v>
      </c>
      <c r="O507" s="2" t="n">
        <v>0.71</v>
      </c>
      <c r="P507" s="2" t="n">
        <v>0.35</v>
      </c>
      <c r="Q507" s="10" t="n">
        <f aca="false">L507/H507-1</f>
        <v>0.0475824100670224</v>
      </c>
      <c r="R507" s="10" t="n">
        <f aca="false">ABS(Q507)</f>
        <v>0.0475824100670224</v>
      </c>
      <c r="S507" s="2" t="s">
        <v>43</v>
      </c>
      <c r="T507" s="2" t="n">
        <v>0.37</v>
      </c>
      <c r="U507" s="2" t="n">
        <v>0.991</v>
      </c>
    </row>
    <row r="508" customFormat="false" ht="15" hidden="false" customHeight="false" outlineLevel="0" collapsed="false">
      <c r="A508" s="2" t="s">
        <v>373</v>
      </c>
      <c r="B508" s="2" t="s">
        <v>64</v>
      </c>
      <c r="C508" s="2" t="s">
        <v>200</v>
      </c>
      <c r="D508" s="2" t="s">
        <v>40</v>
      </c>
      <c r="E508" s="2" t="n">
        <v>31</v>
      </c>
      <c r="F508" s="2" t="s">
        <v>375</v>
      </c>
      <c r="G508" s="2" t="s">
        <v>249</v>
      </c>
      <c r="H508" s="8" t="n">
        <v>89248</v>
      </c>
      <c r="I508" s="8" t="n">
        <v>314034</v>
      </c>
      <c r="J508" s="9" t="n">
        <f aca="false">H508/I508</f>
        <v>0.284198526274225</v>
      </c>
      <c r="K508" s="10" t="n">
        <v>0.318</v>
      </c>
      <c r="L508" s="8" t="n">
        <v>91265</v>
      </c>
      <c r="M508" s="9" t="n">
        <f aca="false">L508/I508</f>
        <v>0.290621397683053</v>
      </c>
      <c r="N508" s="8" t="n">
        <v>91037</v>
      </c>
      <c r="O508" s="2" t="n">
        <v>0.71</v>
      </c>
      <c r="P508" s="2" t="n">
        <v>0.35</v>
      </c>
      <c r="Q508" s="10" t="n">
        <f aca="false">L508/H508-1</f>
        <v>0.0225999462172821</v>
      </c>
      <c r="R508" s="10" t="n">
        <f aca="false">ABS(Q508)</f>
        <v>0.0225999462172821</v>
      </c>
      <c r="S508" s="2" t="s">
        <v>43</v>
      </c>
      <c r="T508" s="2" t="n">
        <v>0.46</v>
      </c>
      <c r="U508" s="2" t="n">
        <v>1.049</v>
      </c>
    </row>
    <row r="509" customFormat="false" ht="15" hidden="false" customHeight="false" outlineLevel="0" collapsed="false">
      <c r="A509" s="2" t="s">
        <v>373</v>
      </c>
      <c r="B509" s="2" t="s">
        <v>65</v>
      </c>
      <c r="C509" s="2" t="s">
        <v>200</v>
      </c>
      <c r="D509" s="2" t="s">
        <v>40</v>
      </c>
      <c r="E509" s="2" t="n">
        <v>30</v>
      </c>
      <c r="F509" s="2" t="s">
        <v>375</v>
      </c>
      <c r="G509" s="2" t="s">
        <v>249</v>
      </c>
      <c r="H509" s="8" t="n">
        <v>98056</v>
      </c>
      <c r="I509" s="8" t="n">
        <v>348371</v>
      </c>
      <c r="J509" s="9" t="n">
        <f aca="false">H509/I509</f>
        <v>0.281470041995459</v>
      </c>
      <c r="K509" s="10" t="n">
        <v>0.287</v>
      </c>
      <c r="L509" s="8" t="n">
        <v>100571</v>
      </c>
      <c r="M509" s="9" t="n">
        <f aca="false">L509/I509</f>
        <v>0.288689357036033</v>
      </c>
      <c r="N509" s="8" t="n">
        <v>101099</v>
      </c>
      <c r="O509" s="2" t="n">
        <v>0.71</v>
      </c>
      <c r="P509" s="2" t="n">
        <v>0.35</v>
      </c>
      <c r="Q509" s="10" t="n">
        <f aca="false">L509/H509-1</f>
        <v>0.0256486089581465</v>
      </c>
      <c r="R509" s="10" t="n">
        <f aca="false">ABS(Q509)</f>
        <v>0.0256486089581465</v>
      </c>
      <c r="S509" s="2" t="s">
        <v>43</v>
      </c>
      <c r="T509" s="2" t="n">
        <v>0.49</v>
      </c>
      <c r="U509" s="2" t="n">
        <v>0.972</v>
      </c>
    </row>
    <row r="510" customFormat="false" ht="15" hidden="false" customHeight="false" outlineLevel="0" collapsed="false">
      <c r="A510" s="2" t="s">
        <v>373</v>
      </c>
      <c r="B510" s="2" t="s">
        <v>66</v>
      </c>
      <c r="C510" s="2" t="s">
        <v>200</v>
      </c>
      <c r="D510" s="2" t="s">
        <v>40</v>
      </c>
      <c r="E510" s="2" t="n">
        <v>31</v>
      </c>
      <c r="F510" s="2" t="s">
        <v>375</v>
      </c>
      <c r="G510" s="2" t="s">
        <v>249</v>
      </c>
      <c r="H510" s="8" t="n">
        <v>127674</v>
      </c>
      <c r="I510" s="8" t="n">
        <v>458788</v>
      </c>
      <c r="J510" s="9" t="n">
        <f aca="false">H510/I510</f>
        <v>0.278285395433185</v>
      </c>
      <c r="K510" s="10" t="n">
        <v>0.234</v>
      </c>
      <c r="L510" s="8" t="n">
        <v>131272</v>
      </c>
      <c r="M510" s="9" t="n">
        <f aca="false">L510/I510</f>
        <v>0.286127797588429</v>
      </c>
      <c r="N510" s="8" t="n">
        <v>131450</v>
      </c>
      <c r="O510" s="2" t="n">
        <v>0.73</v>
      </c>
      <c r="P510" s="2" t="n">
        <v>0.37</v>
      </c>
      <c r="Q510" s="10" t="n">
        <f aca="false">L510/H510-1</f>
        <v>0.0281811488635118</v>
      </c>
      <c r="R510" s="10" t="n">
        <f aca="false">ABS(Q510)</f>
        <v>0.0281811488635118</v>
      </c>
      <c r="S510" s="2" t="s">
        <v>43</v>
      </c>
      <c r="T510" s="2" t="n">
        <v>0.52</v>
      </c>
      <c r="U510" s="2" t="n">
        <v>1.007</v>
      </c>
    </row>
    <row r="511" customFormat="false" ht="15" hidden="false" customHeight="false" outlineLevel="0" collapsed="false">
      <c r="A511" s="2" t="s">
        <v>373</v>
      </c>
      <c r="B511" s="2" t="s">
        <v>67</v>
      </c>
      <c r="C511" s="2" t="s">
        <v>200</v>
      </c>
      <c r="D511" s="2" t="s">
        <v>40</v>
      </c>
      <c r="E511" s="2" t="n">
        <v>31</v>
      </c>
      <c r="F511" s="2" t="s">
        <v>375</v>
      </c>
      <c r="G511" s="2" t="s">
        <v>249</v>
      </c>
      <c r="H511" s="8" t="n">
        <v>152470</v>
      </c>
      <c r="I511" s="8" t="n">
        <v>550514</v>
      </c>
      <c r="J511" s="9" t="n">
        <f aca="false">H511/I511</f>
        <v>0.276959350715876</v>
      </c>
      <c r="K511" s="10" t="n">
        <v>0.192</v>
      </c>
      <c r="L511" s="8" t="n">
        <v>156711</v>
      </c>
      <c r="M511" s="9" t="n">
        <f aca="false">L511/I511</f>
        <v>0.284663060339973</v>
      </c>
      <c r="N511" s="8" t="n">
        <v>156214</v>
      </c>
      <c r="O511" s="2" t="n">
        <v>0.73</v>
      </c>
      <c r="P511" s="2" t="n">
        <v>0.37</v>
      </c>
      <c r="Q511" s="10" t="n">
        <f aca="false">L511/H511-1</f>
        <v>0.0278153079294288</v>
      </c>
      <c r="R511" s="10" t="n">
        <f aca="false">ABS(Q511)</f>
        <v>0.0278153079294288</v>
      </c>
      <c r="S511" s="2" t="s">
        <v>43</v>
      </c>
      <c r="T511" s="2" t="n">
        <v>0.52</v>
      </c>
      <c r="U511" s="2" t="n">
        <v>1.124</v>
      </c>
    </row>
    <row r="512" customFormat="false" ht="15" hidden="false" customHeight="false" outlineLevel="0" collapsed="false">
      <c r="A512" s="2" t="s">
        <v>373</v>
      </c>
      <c r="B512" s="2" t="s">
        <v>68</v>
      </c>
      <c r="C512" s="2" t="s">
        <v>200</v>
      </c>
      <c r="D512" s="2" t="s">
        <v>40</v>
      </c>
      <c r="E512" s="2" t="n">
        <v>30</v>
      </c>
      <c r="F512" s="2" t="s">
        <v>375</v>
      </c>
      <c r="G512" s="2" t="s">
        <v>249</v>
      </c>
      <c r="H512" s="8" t="n">
        <v>123292</v>
      </c>
      <c r="I512" s="8" t="n">
        <v>445710</v>
      </c>
      <c r="J512" s="9" t="n">
        <f aca="false">H512/I512</f>
        <v>0.276619326467883</v>
      </c>
      <c r="K512" s="10" t="n">
        <v>0.207</v>
      </c>
      <c r="L512" s="8" t="n">
        <v>127399</v>
      </c>
      <c r="M512" s="9" t="n">
        <f aca="false">L512/I512</f>
        <v>0.28583383814588</v>
      </c>
      <c r="N512" s="8" t="n">
        <v>127285</v>
      </c>
      <c r="O512" s="2" t="n">
        <v>0.73</v>
      </c>
      <c r="P512" s="2" t="n">
        <v>0.37</v>
      </c>
      <c r="Q512" s="10" t="n">
        <f aca="false">L512/H512-1</f>
        <v>0.0333111637413619</v>
      </c>
      <c r="R512" s="10" t="n">
        <f aca="false">ABS(Q512)</f>
        <v>0.0333111637413619</v>
      </c>
      <c r="S512" s="2" t="s">
        <v>43</v>
      </c>
      <c r="T512" s="2" t="n">
        <v>0.52</v>
      </c>
      <c r="U512" s="2" t="n">
        <v>1.074</v>
      </c>
    </row>
  </sheetData>
  <autoFilter ref="A1:U512"/>
  <conditionalFormatting sqref="R2:R512">
    <cfRule type="cellIs" priority="2" operator="greaterThan" aboveAverage="0" equalAverage="0" bottom="0" percent="0" rank="0" text="" dxfId="5">
      <formula>0.1</formula>
    </cfRule>
    <cfRule type="cellIs" priority="3" operator="lessThanOrEqual" aboveAverage="0" equalAverage="0" bottom="0" percent="0" rank="0" text="" dxfId="6">
      <formula>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1"/>
    <col collapsed="false" customWidth="true" hidden="false" outlineLevel="0" max="2" min="2" style="0" width="9"/>
    <col collapsed="false" customWidth="true" hidden="false" outlineLevel="0" max="3" min="3" style="0" width="34"/>
    <col collapsed="false" customWidth="true" hidden="false" outlineLevel="0" max="4" min="4" style="0" width="21"/>
    <col collapsed="false" customWidth="true" hidden="false" outlineLevel="0" max="6" min="5" style="0" width="15"/>
    <col collapsed="false" customWidth="true" hidden="false" outlineLevel="0" max="7" min="7" style="0" width="14"/>
    <col collapsed="false" customWidth="true" hidden="false" outlineLevel="0" max="8" min="8" style="0" width="26"/>
  </cols>
  <sheetData>
    <row r="1" customFormat="false" ht="42" hidden="false" customHeight="true" outlineLevel="0" collapsed="false">
      <c r="A1" s="7" t="s">
        <v>16</v>
      </c>
      <c r="B1" s="7" t="s">
        <v>17</v>
      </c>
      <c r="C1" s="7" t="s">
        <v>380</v>
      </c>
      <c r="D1" s="7" t="s">
        <v>20</v>
      </c>
      <c r="E1" s="7" t="s">
        <v>381</v>
      </c>
      <c r="F1" s="7" t="s">
        <v>382</v>
      </c>
      <c r="G1" s="7" t="s">
        <v>25</v>
      </c>
      <c r="H1" s="7" t="s">
        <v>383</v>
      </c>
    </row>
    <row r="2" customFormat="false" ht="15" hidden="false" customHeight="false" outlineLevel="0" collapsed="false">
      <c r="A2" s="2" t="s">
        <v>37</v>
      </c>
      <c r="B2" s="2" t="s">
        <v>76</v>
      </c>
      <c r="C2" s="2" t="s">
        <v>384</v>
      </c>
      <c r="D2" s="2" t="n">
        <v>22</v>
      </c>
      <c r="E2" s="2" t="n">
        <v>216530</v>
      </c>
      <c r="F2" s="2" t="n">
        <v>144646</v>
      </c>
      <c r="G2" s="2" t="n">
        <v>0.353</v>
      </c>
      <c r="H2" s="2" t="n">
        <v>0.334</v>
      </c>
    </row>
    <row r="3" customFormat="false" ht="15" hidden="false" customHeight="false" outlineLevel="0" collapsed="false">
      <c r="A3" s="2" t="s">
        <v>69</v>
      </c>
      <c r="B3" s="2" t="s">
        <v>48</v>
      </c>
      <c r="C3" s="2" t="s">
        <v>384</v>
      </c>
      <c r="D3" s="2" t="n">
        <v>21</v>
      </c>
      <c r="E3" s="2" t="n">
        <v>203638</v>
      </c>
      <c r="F3" s="2" t="n">
        <v>128902</v>
      </c>
      <c r="G3" s="2" t="n">
        <v>0.371</v>
      </c>
      <c r="H3" s="2" t="n">
        <v>0.379</v>
      </c>
    </row>
    <row r="4" customFormat="false" ht="15" hidden="false" customHeight="false" outlineLevel="0" collapsed="false">
      <c r="A4" s="2" t="s">
        <v>80</v>
      </c>
      <c r="B4" s="2" t="s">
        <v>38</v>
      </c>
      <c r="C4" s="2" t="s">
        <v>385</v>
      </c>
      <c r="D4" s="2" t="n">
        <v>2</v>
      </c>
      <c r="E4" s="2" t="n">
        <v>33064</v>
      </c>
      <c r="F4" s="2" t="n">
        <v>2950</v>
      </c>
      <c r="G4" s="2" t="n">
        <v>0.677</v>
      </c>
      <c r="H4" s="2" t="n">
        <v>0.458</v>
      </c>
    </row>
    <row r="5" customFormat="false" ht="15" hidden="false" customHeight="false" outlineLevel="0" collapsed="false">
      <c r="A5" s="2" t="s">
        <v>80</v>
      </c>
      <c r="B5" s="2" t="s">
        <v>48</v>
      </c>
      <c r="C5" s="2" t="s">
        <v>384</v>
      </c>
      <c r="D5" s="2" t="n">
        <v>30</v>
      </c>
      <c r="E5" s="2" t="n">
        <v>108769</v>
      </c>
      <c r="F5" s="2" t="n">
        <v>86663</v>
      </c>
      <c r="G5" s="2" t="n">
        <v>0.301</v>
      </c>
      <c r="H5" s="2" t="n">
        <v>0.394</v>
      </c>
    </row>
    <row r="6" customFormat="false" ht="15" hidden="false" customHeight="false" outlineLevel="0" collapsed="false">
      <c r="A6" s="2" t="s">
        <v>80</v>
      </c>
      <c r="B6" s="2" t="s">
        <v>76</v>
      </c>
      <c r="C6" s="2" t="s">
        <v>384</v>
      </c>
      <c r="D6" s="2" t="n">
        <v>24</v>
      </c>
      <c r="E6" s="2" t="n">
        <v>137978</v>
      </c>
      <c r="F6" s="2" t="n">
        <v>109842</v>
      </c>
      <c r="G6" s="2" t="n">
        <v>0.365</v>
      </c>
      <c r="H6" s="2" t="n">
        <v>0.398</v>
      </c>
    </row>
    <row r="7" customFormat="false" ht="15" hidden="false" customHeight="false" outlineLevel="0" collapsed="false">
      <c r="A7" s="2" t="s">
        <v>90</v>
      </c>
      <c r="B7" s="2" t="s">
        <v>38</v>
      </c>
      <c r="C7" s="2" t="s">
        <v>385</v>
      </c>
      <c r="D7" s="2" t="n">
        <v>11</v>
      </c>
      <c r="E7" s="2" t="n">
        <v>213817</v>
      </c>
      <c r="F7" s="2" t="n">
        <v>183610</v>
      </c>
      <c r="G7" s="2" t="n">
        <v>0.375</v>
      </c>
      <c r="H7" s="2" t="n">
        <v>0.303</v>
      </c>
    </row>
    <row r="8" customFormat="false" ht="15" hidden="false" customHeight="false" outlineLevel="0" collapsed="false">
      <c r="A8" s="2" t="s">
        <v>90</v>
      </c>
      <c r="B8" s="2" t="s">
        <v>48</v>
      </c>
      <c r="C8" s="2" t="s">
        <v>384</v>
      </c>
      <c r="D8" s="2" t="n">
        <v>21</v>
      </c>
      <c r="E8" s="2" t="n">
        <v>381675</v>
      </c>
      <c r="F8" s="2" t="n">
        <v>252460</v>
      </c>
      <c r="G8" s="2" t="n">
        <v>0.357</v>
      </c>
      <c r="H8" s="2" t="n">
        <v>0.326</v>
      </c>
    </row>
    <row r="9" customFormat="false" ht="15" hidden="false" customHeight="false" outlineLevel="0" collapsed="false">
      <c r="A9" s="2" t="s">
        <v>105</v>
      </c>
      <c r="B9" s="2" t="s">
        <v>44</v>
      </c>
      <c r="C9" s="2" t="s">
        <v>385</v>
      </c>
      <c r="D9" s="2" t="n">
        <v>1</v>
      </c>
      <c r="E9" s="2" t="n">
        <v>46044</v>
      </c>
      <c r="F9" s="2" t="n">
        <v>2674</v>
      </c>
      <c r="G9" s="2" t="n">
        <v>0.422</v>
      </c>
      <c r="H9" s="2" t="n">
        <v>0.401</v>
      </c>
    </row>
    <row r="10" customFormat="false" ht="15" hidden="false" customHeight="false" outlineLevel="0" collapsed="false">
      <c r="A10" s="2" t="s">
        <v>105</v>
      </c>
      <c r="B10" s="2" t="s">
        <v>46</v>
      </c>
      <c r="C10" s="2" t="s">
        <v>384</v>
      </c>
      <c r="D10" s="2" t="n">
        <v>31</v>
      </c>
      <c r="E10" s="2" t="n">
        <v>65931</v>
      </c>
      <c r="F10" s="2" t="n">
        <v>53610</v>
      </c>
      <c r="G10" s="2" t="n">
        <v>0.472</v>
      </c>
      <c r="H10" s="2" t="n">
        <v>0.384</v>
      </c>
    </row>
    <row r="11" customFormat="false" ht="15" hidden="false" customHeight="false" outlineLevel="0" collapsed="false">
      <c r="A11" s="2" t="s">
        <v>105</v>
      </c>
      <c r="B11" s="2" t="s">
        <v>48</v>
      </c>
      <c r="C11" s="2" t="s">
        <v>384</v>
      </c>
      <c r="D11" s="2" t="n">
        <v>28</v>
      </c>
      <c r="E11" s="2" t="n">
        <v>105616</v>
      </c>
      <c r="F11" s="2" t="n">
        <v>85948</v>
      </c>
      <c r="G11" s="2" t="n">
        <v>0.401</v>
      </c>
      <c r="H11" s="2" t="n">
        <v>0.339</v>
      </c>
    </row>
    <row r="12" customFormat="false" ht="15" hidden="false" customHeight="false" outlineLevel="0" collapsed="false">
      <c r="A12" s="2" t="s">
        <v>105</v>
      </c>
      <c r="B12" s="2" t="s">
        <v>66</v>
      </c>
      <c r="C12" s="2" t="s">
        <v>384</v>
      </c>
      <c r="D12" s="2" t="n">
        <v>31</v>
      </c>
      <c r="E12" s="2" t="n">
        <v>14186</v>
      </c>
      <c r="F12" s="2" t="n">
        <v>54194</v>
      </c>
      <c r="G12" s="2" t="n">
        <v>0.314</v>
      </c>
      <c r="H12" s="2" t="n">
        <v>0.51</v>
      </c>
    </row>
    <row r="13" customFormat="false" ht="15" hidden="false" customHeight="false" outlineLevel="0" collapsed="false">
      <c r="A13" s="2" t="s">
        <v>111</v>
      </c>
      <c r="B13" s="2" t="s">
        <v>38</v>
      </c>
      <c r="C13" s="2" t="s">
        <v>385</v>
      </c>
      <c r="D13" s="2" t="n">
        <v>16</v>
      </c>
      <c r="E13" s="2" t="n">
        <v>99430</v>
      </c>
      <c r="F13" s="2" t="n">
        <v>96273</v>
      </c>
      <c r="G13" s="2" t="n">
        <v>0.381</v>
      </c>
      <c r="H13" s="2" t="n">
        <v>0.404</v>
      </c>
    </row>
    <row r="14" customFormat="false" ht="15" hidden="false" customHeight="false" outlineLevel="0" collapsed="false">
      <c r="A14" s="2" t="s">
        <v>111</v>
      </c>
      <c r="B14" s="2" t="s">
        <v>48</v>
      </c>
      <c r="C14" s="2" t="s">
        <v>384</v>
      </c>
      <c r="D14" s="2" t="n">
        <v>26</v>
      </c>
      <c r="E14" s="2" t="n">
        <v>402888</v>
      </c>
      <c r="F14" s="2" t="n">
        <v>319219</v>
      </c>
      <c r="G14" s="2" t="n">
        <v>0.334</v>
      </c>
      <c r="H14" s="2" t="n">
        <v>0.327</v>
      </c>
    </row>
    <row r="15" customFormat="false" ht="15" hidden="false" customHeight="false" outlineLevel="0" collapsed="false">
      <c r="A15" s="2" t="s">
        <v>111</v>
      </c>
      <c r="B15" s="2" t="s">
        <v>53</v>
      </c>
      <c r="C15" s="2" t="s">
        <v>385</v>
      </c>
      <c r="D15" s="2" t="n">
        <v>13</v>
      </c>
      <c r="E15" s="2" t="n">
        <v>96256</v>
      </c>
      <c r="F15" s="2" t="n">
        <v>90595</v>
      </c>
      <c r="G15" s="2" t="n">
        <v>0.328</v>
      </c>
      <c r="H15" s="2" t="n">
        <v>0.3</v>
      </c>
    </row>
    <row r="16" customFormat="false" ht="15" hidden="false" customHeight="false" outlineLevel="0" collapsed="false">
      <c r="A16" s="2" t="s">
        <v>117</v>
      </c>
      <c r="B16" s="2" t="s">
        <v>63</v>
      </c>
      <c r="C16" s="2" t="s">
        <v>385</v>
      </c>
      <c r="D16" s="2" t="n">
        <v>8</v>
      </c>
      <c r="E16" s="2" t="n">
        <v>304275</v>
      </c>
      <c r="F16" s="2" t="n">
        <v>101889</v>
      </c>
      <c r="G16" s="2" t="n">
        <v>0.333</v>
      </c>
      <c r="H16" s="2" t="n">
        <v>0.304</v>
      </c>
    </row>
    <row r="17" customFormat="false" ht="15" hidden="false" customHeight="false" outlineLevel="0" collapsed="false">
      <c r="A17" s="2" t="s">
        <v>127</v>
      </c>
      <c r="B17" s="2" t="s">
        <v>52</v>
      </c>
      <c r="C17" s="2" t="s">
        <v>385</v>
      </c>
      <c r="D17" s="2" t="n">
        <v>5</v>
      </c>
      <c r="E17" s="2" t="n">
        <v>479044</v>
      </c>
      <c r="F17" s="2" t="n">
        <v>456096</v>
      </c>
      <c r="G17" s="2" t="n">
        <v>0.286</v>
      </c>
      <c r="H17" s="2" t="n">
        <v>0.322</v>
      </c>
    </row>
    <row r="18" customFormat="false" ht="15" hidden="false" customHeight="false" outlineLevel="0" collapsed="false">
      <c r="A18" s="2" t="s">
        <v>127</v>
      </c>
      <c r="B18" s="2" t="s">
        <v>53</v>
      </c>
      <c r="C18" s="2" t="s">
        <v>384</v>
      </c>
      <c r="D18" s="2" t="n">
        <v>28</v>
      </c>
      <c r="E18" s="2" t="n">
        <v>496861</v>
      </c>
      <c r="F18" s="2" t="n">
        <v>352658</v>
      </c>
      <c r="G18" s="2" t="n">
        <v>0.309</v>
      </c>
      <c r="H18" s="2" t="n">
        <v>0.323</v>
      </c>
    </row>
    <row r="19" customFormat="false" ht="15" hidden="false" customHeight="false" outlineLevel="0" collapsed="false">
      <c r="A19" s="2" t="s">
        <v>127</v>
      </c>
      <c r="B19" s="2" t="s">
        <v>54</v>
      </c>
      <c r="C19" s="2" t="s">
        <v>385</v>
      </c>
      <c r="D19" s="2" t="n">
        <v>18</v>
      </c>
      <c r="E19" s="2" t="n">
        <v>386202</v>
      </c>
      <c r="F19" s="2" t="n">
        <v>327799</v>
      </c>
      <c r="G19" s="2" t="n">
        <v>0.3</v>
      </c>
      <c r="H19" s="2" t="n">
        <v>0.355</v>
      </c>
    </row>
    <row r="20" customFormat="false" ht="15" hidden="false" customHeight="false" outlineLevel="0" collapsed="false">
      <c r="A20" s="2" t="s">
        <v>127</v>
      </c>
      <c r="B20" s="2" t="s">
        <v>60</v>
      </c>
      <c r="C20" s="2" t="s">
        <v>385</v>
      </c>
      <c r="D20" s="2" t="n">
        <v>3</v>
      </c>
      <c r="E20" s="2" t="n">
        <v>208302</v>
      </c>
      <c r="F20" s="2" t="n">
        <v>155993</v>
      </c>
      <c r="G20" s="2" t="n">
        <v>0.305</v>
      </c>
      <c r="H20" s="2" t="n">
        <v>0.34</v>
      </c>
    </row>
    <row r="21" customFormat="false" ht="15" hidden="false" customHeight="false" outlineLevel="0" collapsed="false">
      <c r="A21" s="2" t="s">
        <v>131</v>
      </c>
      <c r="B21" s="2" t="s">
        <v>60</v>
      </c>
      <c r="C21" s="2" t="s">
        <v>385</v>
      </c>
      <c r="D21" s="2" t="n">
        <v>7</v>
      </c>
      <c r="E21" s="2" t="n">
        <v>6079</v>
      </c>
      <c r="F21" s="2" t="n">
        <v>1720</v>
      </c>
      <c r="G21" s="2" t="n">
        <v>1.25</v>
      </c>
      <c r="H21" s="2" t="n">
        <v>0.582</v>
      </c>
    </row>
    <row r="22" customFormat="false" ht="15" hidden="false" customHeight="false" outlineLevel="0" collapsed="false">
      <c r="A22" s="2" t="s">
        <v>131</v>
      </c>
      <c r="B22" s="2" t="s">
        <v>63</v>
      </c>
      <c r="C22" s="2" t="s">
        <v>384</v>
      </c>
      <c r="D22" s="2" t="n">
        <v>26</v>
      </c>
      <c r="E22" s="2" t="n">
        <v>13420</v>
      </c>
      <c r="F22" s="2" t="n">
        <v>9635</v>
      </c>
      <c r="G22" s="2" t="n">
        <v>0.451</v>
      </c>
      <c r="H22" s="2" t="n">
        <v>0.467</v>
      </c>
    </row>
    <row r="23" customFormat="false" ht="15" hidden="false" customHeight="false" outlineLevel="0" collapsed="false">
      <c r="A23" s="2" t="s">
        <v>139</v>
      </c>
      <c r="B23" s="2" t="s">
        <v>76</v>
      </c>
      <c r="C23" s="2" t="s">
        <v>384</v>
      </c>
      <c r="D23" s="2" t="n">
        <v>24</v>
      </c>
      <c r="E23" s="2" t="n">
        <v>38885</v>
      </c>
      <c r="F23" s="2" t="n">
        <v>29547</v>
      </c>
      <c r="G23" s="2" t="n">
        <v>0.453</v>
      </c>
      <c r="H23" s="2" t="n">
        <v>0.425</v>
      </c>
    </row>
    <row r="24" customFormat="false" ht="15" hidden="false" customHeight="false" outlineLevel="0" collapsed="false">
      <c r="A24" s="2" t="s">
        <v>139</v>
      </c>
      <c r="B24" s="2" t="s">
        <v>54</v>
      </c>
      <c r="C24" s="2" t="s">
        <v>384</v>
      </c>
      <c r="D24" s="2" t="n">
        <v>30</v>
      </c>
      <c r="E24" s="2" t="n">
        <v>45217</v>
      </c>
      <c r="F24" s="2" t="n">
        <v>20255</v>
      </c>
      <c r="G24" s="2" t="n">
        <v>0.436</v>
      </c>
      <c r="H24" s="2" t="n">
        <v>0.433</v>
      </c>
    </row>
    <row r="25" customFormat="false" ht="15" hidden="false" customHeight="false" outlineLevel="0" collapsed="false">
      <c r="A25" s="2" t="s">
        <v>151</v>
      </c>
      <c r="B25" s="2" t="s">
        <v>76</v>
      </c>
      <c r="C25" s="2" t="s">
        <v>384</v>
      </c>
      <c r="D25" s="2" t="n">
        <v>24</v>
      </c>
      <c r="E25" s="2" t="n">
        <v>16979</v>
      </c>
      <c r="F25" s="2" t="n">
        <v>12992</v>
      </c>
      <c r="G25" s="2" t="n">
        <v>0.486</v>
      </c>
      <c r="H25" s="2" t="n">
        <v>0.459</v>
      </c>
    </row>
    <row r="26" customFormat="false" ht="15" hidden="false" customHeight="false" outlineLevel="0" collapsed="false">
      <c r="A26" s="2" t="s">
        <v>151</v>
      </c>
      <c r="B26" s="2" t="s">
        <v>63</v>
      </c>
      <c r="C26" s="2" t="s">
        <v>384</v>
      </c>
      <c r="D26" s="2" t="n">
        <v>30</v>
      </c>
      <c r="E26" s="2" t="n">
        <v>16086</v>
      </c>
      <c r="F26" s="2" t="n">
        <v>13194</v>
      </c>
      <c r="G26" s="2" t="n">
        <v>0.428</v>
      </c>
      <c r="H26" s="2" t="n">
        <v>0.46</v>
      </c>
    </row>
    <row r="27" customFormat="false" ht="15" hidden="false" customHeight="false" outlineLevel="0" collapsed="false">
      <c r="A27" s="2" t="s">
        <v>151</v>
      </c>
      <c r="B27" s="2" t="s">
        <v>64</v>
      </c>
      <c r="C27" s="2" t="s">
        <v>384</v>
      </c>
      <c r="D27" s="2" t="n">
        <v>31</v>
      </c>
      <c r="E27" s="2" t="n">
        <v>15921</v>
      </c>
      <c r="F27" s="2" t="n">
        <v>3545</v>
      </c>
      <c r="G27" s="2" t="n">
        <v>0.43</v>
      </c>
      <c r="H27" s="2" t="n">
        <v>0.469</v>
      </c>
    </row>
    <row r="28" customFormat="false" ht="15" hidden="false" customHeight="false" outlineLevel="0" collapsed="false">
      <c r="A28" s="2" t="s">
        <v>157</v>
      </c>
      <c r="B28" s="2" t="s">
        <v>76</v>
      </c>
      <c r="C28" s="2" t="s">
        <v>384</v>
      </c>
      <c r="D28" s="2" t="n">
        <v>24</v>
      </c>
      <c r="E28" s="2" t="n">
        <v>21554</v>
      </c>
      <c r="F28" s="2" t="n">
        <v>16375</v>
      </c>
      <c r="G28" s="2" t="n">
        <v>0.425</v>
      </c>
      <c r="H28" s="2" t="n">
        <v>0.399</v>
      </c>
    </row>
    <row r="29" customFormat="false" ht="15" hidden="false" customHeight="false" outlineLevel="0" collapsed="false">
      <c r="A29" s="2" t="s">
        <v>157</v>
      </c>
      <c r="B29" s="2" t="s">
        <v>52</v>
      </c>
      <c r="C29" s="2" t="s">
        <v>384</v>
      </c>
      <c r="D29" s="2" t="n">
        <v>20</v>
      </c>
      <c r="E29" s="2" t="n">
        <v>25983</v>
      </c>
      <c r="F29" s="2" t="n">
        <v>20583</v>
      </c>
      <c r="G29" s="2" t="n">
        <v>0.427</v>
      </c>
      <c r="H29" s="2" t="n">
        <v>0.375</v>
      </c>
    </row>
    <row r="30" customFormat="false" ht="15" hidden="false" customHeight="false" outlineLevel="0" collapsed="false">
      <c r="A30" s="2" t="s">
        <v>157</v>
      </c>
      <c r="B30" s="2" t="s">
        <v>64</v>
      </c>
      <c r="C30" s="2" t="s">
        <v>384</v>
      </c>
      <c r="D30" s="2" t="n">
        <v>31</v>
      </c>
      <c r="E30" s="2" t="n">
        <v>16103</v>
      </c>
      <c r="F30" s="2" t="n">
        <v>8347</v>
      </c>
      <c r="G30" s="2" t="n">
        <v>0.481</v>
      </c>
      <c r="H30" s="2" t="n">
        <v>0.449</v>
      </c>
    </row>
    <row r="31" customFormat="false" ht="15" hidden="false" customHeight="false" outlineLevel="0" collapsed="false">
      <c r="A31" s="2" t="s">
        <v>157</v>
      </c>
      <c r="B31" s="2" t="s">
        <v>65</v>
      </c>
      <c r="C31" s="2" t="s">
        <v>384</v>
      </c>
      <c r="D31" s="2" t="n">
        <v>30</v>
      </c>
      <c r="E31" s="2" t="n">
        <v>18929</v>
      </c>
      <c r="F31" s="2" t="n">
        <v>15035</v>
      </c>
      <c r="G31" s="2" t="n">
        <v>0.42</v>
      </c>
      <c r="H31" s="2" t="n">
        <v>0.417</v>
      </c>
    </row>
    <row r="32" customFormat="false" ht="15" hidden="false" customHeight="false" outlineLevel="0" collapsed="false">
      <c r="A32" s="2" t="s">
        <v>162</v>
      </c>
      <c r="B32" s="2" t="s">
        <v>48</v>
      </c>
      <c r="C32" s="2" t="s">
        <v>385</v>
      </c>
      <c r="D32" s="2" t="n">
        <v>6</v>
      </c>
      <c r="E32" s="2" t="n">
        <v>165931</v>
      </c>
      <c r="F32" s="2" t="n">
        <v>95015</v>
      </c>
      <c r="G32" s="2" t="n">
        <v>0.316</v>
      </c>
      <c r="H32" s="2" t="n">
        <v>0.319</v>
      </c>
    </row>
    <row r="33" customFormat="false" ht="15" hidden="false" customHeight="false" outlineLevel="0" collapsed="false">
      <c r="A33" s="2" t="s">
        <v>162</v>
      </c>
      <c r="B33" s="2" t="s">
        <v>52</v>
      </c>
      <c r="C33" s="2" t="s">
        <v>384</v>
      </c>
      <c r="D33" s="2" t="n">
        <v>31</v>
      </c>
      <c r="E33" s="2" t="n">
        <v>798037</v>
      </c>
      <c r="F33" s="2" t="n">
        <v>590585</v>
      </c>
      <c r="G33" s="2" t="n">
        <v>0.339</v>
      </c>
      <c r="H33" s="2" t="n">
        <v>0.309</v>
      </c>
    </row>
    <row r="34" customFormat="false" ht="15" hidden="false" customHeight="false" outlineLevel="0" collapsed="false">
      <c r="A34" s="2" t="s">
        <v>162</v>
      </c>
      <c r="B34" s="2" t="s">
        <v>53</v>
      </c>
      <c r="C34" s="2" t="s">
        <v>384</v>
      </c>
      <c r="D34" s="2" t="n">
        <v>31</v>
      </c>
      <c r="E34" s="2" t="n">
        <v>816141</v>
      </c>
      <c r="F34" s="2" t="n">
        <v>630659</v>
      </c>
      <c r="G34" s="2" t="n">
        <v>0.355</v>
      </c>
      <c r="H34" s="2" t="n">
        <v>0.311</v>
      </c>
    </row>
    <row r="35" customFormat="false" ht="15" hidden="false" customHeight="false" outlineLevel="0" collapsed="false">
      <c r="A35" s="2" t="s">
        <v>170</v>
      </c>
      <c r="B35" s="2" t="s">
        <v>76</v>
      </c>
      <c r="C35" s="2" t="s">
        <v>385</v>
      </c>
      <c r="D35" s="2" t="n">
        <v>9</v>
      </c>
      <c r="E35" s="2" t="n">
        <v>831806</v>
      </c>
      <c r="F35" s="2" t="n">
        <v>0</v>
      </c>
      <c r="G35" s="2" t="n">
        <v>0.467</v>
      </c>
      <c r="H35" s="2" t="n">
        <v>0.329</v>
      </c>
    </row>
    <row r="36" customFormat="false" ht="15" hidden="false" customHeight="false" outlineLevel="0" collapsed="false">
      <c r="A36" s="2" t="s">
        <v>170</v>
      </c>
      <c r="B36" s="2" t="s">
        <v>50</v>
      </c>
      <c r="C36" s="2" t="s">
        <v>385</v>
      </c>
      <c r="D36" s="2" t="n">
        <v>7</v>
      </c>
      <c r="E36" s="2" t="n">
        <v>1212902</v>
      </c>
      <c r="F36" s="2" t="n">
        <v>0</v>
      </c>
      <c r="G36" s="2" t="n">
        <v>0.366</v>
      </c>
      <c r="H36" s="2" t="n">
        <v>0.316</v>
      </c>
    </row>
    <row r="37" customFormat="false" ht="15" hidden="false" customHeight="false" outlineLevel="0" collapsed="false">
      <c r="A37" s="2" t="s">
        <v>170</v>
      </c>
      <c r="B37" s="2" t="s">
        <v>52</v>
      </c>
      <c r="C37" s="2" t="s">
        <v>385</v>
      </c>
      <c r="D37" s="2" t="n">
        <v>16</v>
      </c>
      <c r="E37" s="2" t="n">
        <v>1372019</v>
      </c>
      <c r="F37" s="2" t="n">
        <v>0</v>
      </c>
      <c r="G37" s="2" t="n">
        <v>0.3</v>
      </c>
      <c r="H37" s="2" t="n">
        <v>0.323</v>
      </c>
    </row>
    <row r="38" customFormat="false" ht="15" hidden="false" customHeight="false" outlineLevel="0" collapsed="false">
      <c r="A38" s="2" t="s">
        <v>170</v>
      </c>
      <c r="B38" s="2" t="s">
        <v>53</v>
      </c>
      <c r="C38" s="2" t="s">
        <v>384</v>
      </c>
      <c r="D38" s="2" t="n">
        <v>31</v>
      </c>
      <c r="E38" s="2" t="n">
        <v>1230006</v>
      </c>
      <c r="F38" s="2" t="n">
        <v>600462</v>
      </c>
      <c r="G38" s="2" t="n">
        <v>0.316</v>
      </c>
      <c r="H38" s="2" t="n">
        <v>0.321</v>
      </c>
    </row>
    <row r="39" customFormat="false" ht="15" hidden="false" customHeight="false" outlineLevel="0" collapsed="false">
      <c r="A39" s="2" t="s">
        <v>170</v>
      </c>
      <c r="B39" s="2" t="s">
        <v>60</v>
      </c>
      <c r="C39" s="2" t="s">
        <v>384</v>
      </c>
      <c r="D39" s="2" t="n">
        <v>31</v>
      </c>
      <c r="E39" s="2" t="n">
        <v>646638</v>
      </c>
      <c r="F39" s="2" t="n">
        <v>510824</v>
      </c>
      <c r="G39" s="2" t="n">
        <v>0.332</v>
      </c>
      <c r="H39" s="2" t="n">
        <v>0.33</v>
      </c>
    </row>
    <row r="40" customFormat="false" ht="15" hidden="false" customHeight="false" outlineLevel="0" collapsed="false">
      <c r="A40" s="2" t="s">
        <v>185</v>
      </c>
      <c r="B40" s="2" t="s">
        <v>52</v>
      </c>
      <c r="C40" s="2" t="s">
        <v>385</v>
      </c>
      <c r="D40" s="2" t="n">
        <v>14</v>
      </c>
      <c r="E40" s="2" t="n">
        <v>322517</v>
      </c>
      <c r="F40" s="2" t="n">
        <v>331692</v>
      </c>
      <c r="G40" s="2" t="n">
        <v>0.309</v>
      </c>
      <c r="H40" s="2" t="n">
        <v>0.284</v>
      </c>
    </row>
    <row r="41" customFormat="false" ht="15" hidden="false" customHeight="false" outlineLevel="0" collapsed="false">
      <c r="A41" s="2" t="s">
        <v>185</v>
      </c>
      <c r="B41" s="2" t="s">
        <v>53</v>
      </c>
      <c r="C41" s="2" t="s">
        <v>384</v>
      </c>
      <c r="D41" s="2" t="n">
        <v>29</v>
      </c>
      <c r="E41" s="2" t="n">
        <v>387662</v>
      </c>
      <c r="F41" s="2" t="n">
        <v>719133</v>
      </c>
      <c r="G41" s="2" t="n">
        <v>0.294</v>
      </c>
      <c r="H41" s="2" t="n">
        <v>0.282</v>
      </c>
    </row>
    <row r="42" customFormat="false" ht="15" hidden="false" customHeight="false" outlineLevel="0" collapsed="false">
      <c r="A42" s="2" t="s">
        <v>192</v>
      </c>
      <c r="B42" s="2" t="s">
        <v>76</v>
      </c>
      <c r="C42" s="2" t="s">
        <v>385</v>
      </c>
      <c r="D42" s="2" t="n">
        <v>17</v>
      </c>
      <c r="E42" s="2" t="n">
        <v>14870</v>
      </c>
      <c r="F42" s="2" t="n">
        <v>8007</v>
      </c>
      <c r="G42" s="2" t="n">
        <v>0.478</v>
      </c>
      <c r="H42" s="2" t="n">
        <v>0.466</v>
      </c>
    </row>
    <row r="43" customFormat="false" ht="15" hidden="false" customHeight="false" outlineLevel="0" collapsed="false">
      <c r="A43" s="2" t="s">
        <v>192</v>
      </c>
      <c r="B43" s="2" t="s">
        <v>52</v>
      </c>
      <c r="C43" s="2" t="s">
        <v>384</v>
      </c>
      <c r="D43" s="2" t="n">
        <v>31</v>
      </c>
      <c r="E43" s="2" t="n">
        <v>17781</v>
      </c>
      <c r="F43" s="2" t="n">
        <v>22602</v>
      </c>
      <c r="G43" s="2" t="n">
        <v>0.541</v>
      </c>
      <c r="H43" s="2" t="n">
        <v>0.506</v>
      </c>
    </row>
    <row r="44" customFormat="false" ht="15" hidden="false" customHeight="false" outlineLevel="0" collapsed="false">
      <c r="A44" s="2" t="s">
        <v>192</v>
      </c>
      <c r="B44" s="2" t="s">
        <v>67</v>
      </c>
      <c r="C44" s="2" t="s">
        <v>384</v>
      </c>
      <c r="D44" s="2" t="n">
        <v>31</v>
      </c>
      <c r="E44" s="2" t="n">
        <v>23423</v>
      </c>
      <c r="F44" s="2" t="n">
        <v>0</v>
      </c>
      <c r="G44" s="2" t="n">
        <v>0.465</v>
      </c>
      <c r="H44" s="2" t="n">
        <v>0.43</v>
      </c>
    </row>
    <row r="45" customFormat="false" ht="15" hidden="false" customHeight="false" outlineLevel="0" collapsed="false">
      <c r="A45" s="2" t="s">
        <v>192</v>
      </c>
      <c r="B45" s="2" t="s">
        <v>68</v>
      </c>
      <c r="C45" s="2" t="s">
        <v>384</v>
      </c>
      <c r="D45" s="2" t="n">
        <v>30</v>
      </c>
      <c r="E45" s="2" t="n">
        <v>25448</v>
      </c>
      <c r="F45" s="2" t="n">
        <v>7262</v>
      </c>
      <c r="G45" s="2" t="n">
        <v>0.467</v>
      </c>
      <c r="H45" s="2" t="n">
        <v>0.417</v>
      </c>
    </row>
    <row r="46" customFormat="false" ht="15" hidden="false" customHeight="false" outlineLevel="0" collapsed="false">
      <c r="A46" s="2" t="s">
        <v>199</v>
      </c>
      <c r="B46" s="2" t="s">
        <v>44</v>
      </c>
      <c r="C46" s="2" t="s">
        <v>385</v>
      </c>
      <c r="D46" s="2" t="n">
        <v>3</v>
      </c>
      <c r="E46" s="2" t="n">
        <v>17436</v>
      </c>
      <c r="F46" s="2" t="n">
        <v>1412</v>
      </c>
      <c r="G46" s="2" t="n">
        <v>0.534</v>
      </c>
      <c r="H46" s="2" t="n">
        <v>0.481</v>
      </c>
    </row>
    <row r="47" customFormat="false" ht="15" hidden="false" customHeight="false" outlineLevel="0" collapsed="false">
      <c r="A47" s="2" t="s">
        <v>199</v>
      </c>
      <c r="B47" s="2" t="s">
        <v>48</v>
      </c>
      <c r="C47" s="2" t="s">
        <v>384</v>
      </c>
      <c r="D47" s="2" t="n">
        <v>30</v>
      </c>
      <c r="E47" s="2" t="n">
        <v>36000</v>
      </c>
      <c r="F47" s="2" t="n">
        <v>22573</v>
      </c>
      <c r="G47" s="2" t="n">
        <v>0.398</v>
      </c>
      <c r="H47" s="2" t="n">
        <v>0.401</v>
      </c>
    </row>
    <row r="48" customFormat="false" ht="15" hidden="false" customHeight="false" outlineLevel="0" collapsed="false">
      <c r="A48" s="2" t="s">
        <v>199</v>
      </c>
      <c r="B48" s="2" t="s">
        <v>50</v>
      </c>
      <c r="C48" s="2" t="s">
        <v>384</v>
      </c>
      <c r="D48" s="2" t="n">
        <v>22</v>
      </c>
      <c r="E48" s="2" t="n">
        <v>43367</v>
      </c>
      <c r="F48" s="2" t="n">
        <v>30719</v>
      </c>
      <c r="G48" s="2" t="n">
        <v>0.376</v>
      </c>
      <c r="H48" s="2" t="n">
        <v>0.367</v>
      </c>
    </row>
    <row r="49" customFormat="false" ht="15" hidden="false" customHeight="false" outlineLevel="0" collapsed="false">
      <c r="A49" s="2" t="s">
        <v>203</v>
      </c>
      <c r="B49" s="2" t="s">
        <v>48</v>
      </c>
      <c r="C49" s="2" t="s">
        <v>384</v>
      </c>
      <c r="D49" s="2" t="n">
        <v>29</v>
      </c>
      <c r="E49" s="2" t="n">
        <v>35480</v>
      </c>
      <c r="F49" s="2" t="n">
        <v>26516</v>
      </c>
      <c r="G49" s="2" t="n">
        <v>0.391</v>
      </c>
      <c r="H49" s="2" t="n">
        <v>0.494</v>
      </c>
    </row>
    <row r="50" customFormat="false" ht="15" hidden="false" customHeight="false" outlineLevel="0" collapsed="false">
      <c r="A50" s="2" t="s">
        <v>203</v>
      </c>
      <c r="B50" s="2" t="s">
        <v>76</v>
      </c>
      <c r="C50" s="2" t="s">
        <v>384</v>
      </c>
      <c r="D50" s="2" t="n">
        <v>31</v>
      </c>
      <c r="E50" s="2" t="n">
        <v>52703</v>
      </c>
      <c r="F50" s="2" t="n">
        <v>40681</v>
      </c>
      <c r="G50" s="2" t="n">
        <v>0.305</v>
      </c>
      <c r="H50" s="2" t="n">
        <v>0.43</v>
      </c>
    </row>
    <row r="51" customFormat="false" ht="15" hidden="false" customHeight="false" outlineLevel="0" collapsed="false">
      <c r="A51" s="2" t="s">
        <v>203</v>
      </c>
      <c r="B51" s="2" t="s">
        <v>50</v>
      </c>
      <c r="C51" s="2" t="s">
        <v>384</v>
      </c>
      <c r="D51" s="2" t="n">
        <v>30</v>
      </c>
      <c r="E51" s="2" t="n">
        <v>66046</v>
      </c>
      <c r="F51" s="2" t="n">
        <v>52694</v>
      </c>
      <c r="G51" s="2" t="n">
        <v>0.346</v>
      </c>
      <c r="H51" s="2" t="n">
        <v>0.387</v>
      </c>
    </row>
    <row r="52" customFormat="false" ht="15" hidden="false" customHeight="false" outlineLevel="0" collapsed="false">
      <c r="A52" s="2" t="s">
        <v>203</v>
      </c>
      <c r="B52" s="2" t="s">
        <v>52</v>
      </c>
      <c r="C52" s="2" t="s">
        <v>384</v>
      </c>
      <c r="D52" s="2" t="n">
        <v>26</v>
      </c>
      <c r="E52" s="2" t="n">
        <v>91150</v>
      </c>
      <c r="F52" s="2" t="n">
        <v>62016</v>
      </c>
      <c r="G52" s="2" t="n">
        <v>0.346</v>
      </c>
      <c r="H52" s="2" t="n">
        <v>0.343</v>
      </c>
    </row>
    <row r="53" customFormat="false" ht="15" hidden="false" customHeight="false" outlineLevel="0" collapsed="false">
      <c r="A53" s="2" t="s">
        <v>203</v>
      </c>
      <c r="B53" s="2" t="s">
        <v>53</v>
      </c>
      <c r="C53" s="2" t="s">
        <v>384</v>
      </c>
      <c r="D53" s="2" t="n">
        <v>31</v>
      </c>
      <c r="E53" s="2" t="n">
        <v>78787</v>
      </c>
      <c r="F53" s="2" t="n">
        <v>52920</v>
      </c>
      <c r="G53" s="2" t="n">
        <v>0.413</v>
      </c>
      <c r="H53" s="2" t="n">
        <v>0.386</v>
      </c>
    </row>
    <row r="54" customFormat="false" ht="15" hidden="false" customHeight="false" outlineLevel="0" collapsed="false">
      <c r="A54" s="2" t="s">
        <v>203</v>
      </c>
      <c r="B54" s="2" t="s">
        <v>62</v>
      </c>
      <c r="C54" s="2" t="s">
        <v>384</v>
      </c>
      <c r="D54" s="2" t="n">
        <v>31</v>
      </c>
      <c r="E54" s="2" t="n">
        <v>33116</v>
      </c>
      <c r="F54" s="2" t="n">
        <v>20273</v>
      </c>
      <c r="G54" s="2" t="n">
        <v>0.368</v>
      </c>
      <c r="H54" s="2" t="n">
        <v>0.374</v>
      </c>
    </row>
    <row r="55" customFormat="false" ht="15" hidden="false" customHeight="false" outlineLevel="0" collapsed="false">
      <c r="A55" s="2" t="s">
        <v>236</v>
      </c>
      <c r="B55" s="2" t="s">
        <v>48</v>
      </c>
      <c r="C55" s="2" t="s">
        <v>384</v>
      </c>
      <c r="D55" s="2" t="n">
        <v>28</v>
      </c>
      <c r="E55" s="2" t="n">
        <v>217442</v>
      </c>
      <c r="F55" s="2" t="n">
        <v>172719</v>
      </c>
      <c r="G55" s="2" t="n">
        <v>0.309</v>
      </c>
      <c r="H55" s="2" t="n">
        <v>0.285</v>
      </c>
    </row>
    <row r="56" customFormat="false" ht="15" hidden="false" customHeight="false" outlineLevel="0" collapsed="false">
      <c r="A56" s="2" t="s">
        <v>257</v>
      </c>
      <c r="B56" s="2" t="s">
        <v>48</v>
      </c>
      <c r="C56" s="2" t="s">
        <v>384</v>
      </c>
      <c r="D56" s="2" t="n">
        <v>30</v>
      </c>
      <c r="E56" s="2" t="n">
        <v>292809</v>
      </c>
      <c r="F56" s="2" t="n">
        <v>195547</v>
      </c>
      <c r="G56" s="2" t="n">
        <v>0.299</v>
      </c>
      <c r="H56" s="2" t="n">
        <v>0.288</v>
      </c>
    </row>
    <row r="57" customFormat="false" ht="15" hidden="false" customHeight="false" outlineLevel="0" collapsed="false">
      <c r="A57" s="2" t="s">
        <v>257</v>
      </c>
      <c r="B57" s="2" t="s">
        <v>76</v>
      </c>
      <c r="C57" s="2" t="s">
        <v>384</v>
      </c>
      <c r="D57" s="2" t="n">
        <v>22</v>
      </c>
      <c r="E57" s="2" t="n">
        <v>362914</v>
      </c>
      <c r="F57" s="2" t="n">
        <v>249893</v>
      </c>
      <c r="G57" s="2" t="n">
        <v>0.282</v>
      </c>
      <c r="H57" s="2" t="n">
        <v>0.301</v>
      </c>
    </row>
    <row r="58" customFormat="false" ht="15" hidden="false" customHeight="false" outlineLevel="0" collapsed="false">
      <c r="A58" s="2" t="s">
        <v>257</v>
      </c>
      <c r="B58" s="2" t="s">
        <v>50</v>
      </c>
      <c r="C58" s="2" t="s">
        <v>384</v>
      </c>
      <c r="D58" s="2" t="n">
        <v>23</v>
      </c>
      <c r="E58" s="2" t="n">
        <v>433032</v>
      </c>
      <c r="F58" s="2" t="n">
        <v>330316</v>
      </c>
      <c r="G58" s="2" t="n">
        <v>0.284</v>
      </c>
      <c r="H58" s="2" t="n">
        <v>0.291</v>
      </c>
    </row>
    <row r="59" customFormat="false" ht="15" hidden="false" customHeight="false" outlineLevel="0" collapsed="false">
      <c r="A59" s="2" t="s">
        <v>257</v>
      </c>
      <c r="B59" s="2" t="s">
        <v>57</v>
      </c>
      <c r="C59" s="2" t="s">
        <v>384</v>
      </c>
      <c r="D59" s="2" t="n">
        <v>31</v>
      </c>
      <c r="E59" s="2" t="n">
        <v>570135</v>
      </c>
      <c r="F59" s="2" t="n">
        <v>374343</v>
      </c>
      <c r="G59" s="2" t="n">
        <v>0.284</v>
      </c>
      <c r="H59" s="2" t="n">
        <v>0.289</v>
      </c>
    </row>
    <row r="60" customFormat="false" ht="15" hidden="false" customHeight="false" outlineLevel="0" collapsed="false">
      <c r="A60" s="2" t="s">
        <v>269</v>
      </c>
      <c r="B60" s="2" t="s">
        <v>52</v>
      </c>
      <c r="C60" s="2" t="s">
        <v>384</v>
      </c>
      <c r="D60" s="2" t="n">
        <v>31</v>
      </c>
      <c r="E60" s="2" t="n">
        <v>666975</v>
      </c>
      <c r="F60" s="2" t="n">
        <v>546322</v>
      </c>
      <c r="G60" s="2" t="n">
        <v>0.285</v>
      </c>
      <c r="H60" s="2" t="n">
        <v>0.271</v>
      </c>
    </row>
    <row r="61" customFormat="false" ht="15" hidden="false" customHeight="false" outlineLevel="0" collapsed="false">
      <c r="A61" s="2" t="s">
        <v>269</v>
      </c>
      <c r="B61" s="2" t="s">
        <v>65</v>
      </c>
      <c r="C61" s="2" t="s">
        <v>384</v>
      </c>
      <c r="D61" s="2" t="n">
        <v>30</v>
      </c>
      <c r="E61" s="2" t="n">
        <v>499187</v>
      </c>
      <c r="F61" s="2" t="n">
        <v>410860</v>
      </c>
      <c r="G61" s="2" t="n">
        <v>0.3</v>
      </c>
      <c r="H61" s="2" t="n">
        <v>0.279</v>
      </c>
    </row>
    <row r="62" customFormat="false" ht="15" hidden="false" customHeight="false" outlineLevel="0" collapsed="false">
      <c r="A62" s="2" t="s">
        <v>280</v>
      </c>
      <c r="B62" s="2" t="s">
        <v>44</v>
      </c>
      <c r="C62" s="2" t="s">
        <v>384</v>
      </c>
      <c r="D62" s="2" t="n">
        <v>25</v>
      </c>
      <c r="E62" s="2" t="n">
        <v>16349</v>
      </c>
      <c r="F62" s="2" t="n">
        <v>11355</v>
      </c>
      <c r="G62" s="2" t="n">
        <v>0.455</v>
      </c>
      <c r="H62" s="2" t="n">
        <v>0.423</v>
      </c>
    </row>
    <row r="63" customFormat="false" ht="15" hidden="false" customHeight="false" outlineLevel="0" collapsed="false">
      <c r="A63" s="2" t="s">
        <v>280</v>
      </c>
      <c r="B63" s="2" t="s">
        <v>48</v>
      </c>
      <c r="C63" s="2" t="s">
        <v>384</v>
      </c>
      <c r="D63" s="2" t="n">
        <v>26</v>
      </c>
      <c r="E63" s="2" t="n">
        <v>39534</v>
      </c>
      <c r="F63" s="2" t="n">
        <v>30702</v>
      </c>
      <c r="G63" s="2" t="n">
        <v>0.374</v>
      </c>
      <c r="H63" s="2" t="n">
        <v>0.358</v>
      </c>
    </row>
    <row r="64" customFormat="false" ht="15" hidden="false" customHeight="false" outlineLevel="0" collapsed="false">
      <c r="A64" s="2" t="s">
        <v>296</v>
      </c>
      <c r="B64" s="2" t="s">
        <v>61</v>
      </c>
      <c r="C64" s="2" t="s">
        <v>384</v>
      </c>
      <c r="D64" s="2" t="n">
        <v>28</v>
      </c>
      <c r="E64" s="2" t="n">
        <v>7613</v>
      </c>
      <c r="F64" s="2" t="n">
        <v>6197</v>
      </c>
      <c r="G64" s="2" t="n">
        <v>0.501</v>
      </c>
      <c r="H64" s="2" t="n">
        <v>0.491</v>
      </c>
    </row>
    <row r="65" customFormat="false" ht="15" hidden="false" customHeight="false" outlineLevel="0" collapsed="false">
      <c r="A65" s="2" t="s">
        <v>296</v>
      </c>
      <c r="B65" s="2" t="s">
        <v>62</v>
      </c>
      <c r="C65" s="2" t="s">
        <v>384</v>
      </c>
      <c r="D65" s="2" t="n">
        <v>30</v>
      </c>
      <c r="E65" s="2" t="n">
        <v>5664</v>
      </c>
      <c r="F65" s="2" t="n">
        <v>3831</v>
      </c>
      <c r="G65" s="2" t="n">
        <v>0.622</v>
      </c>
      <c r="H65" s="2" t="n">
        <v>0.521</v>
      </c>
    </row>
    <row r="66" customFormat="false" ht="15" hidden="false" customHeight="false" outlineLevel="0" collapsed="false">
      <c r="A66" s="2" t="s">
        <v>296</v>
      </c>
      <c r="B66" s="2" t="s">
        <v>68</v>
      </c>
      <c r="C66" s="2" t="s">
        <v>385</v>
      </c>
      <c r="D66" s="2" t="n">
        <v>2</v>
      </c>
      <c r="E66" s="2" t="n">
        <v>1151</v>
      </c>
      <c r="F66" s="2" t="n">
        <v>699</v>
      </c>
      <c r="G66" s="2" t="n">
        <v>0.294</v>
      </c>
      <c r="H66" s="2" t="n">
        <v>0.393</v>
      </c>
    </row>
    <row r="67" customFormat="false" ht="15" hidden="false" customHeight="false" outlineLevel="0" collapsed="false">
      <c r="A67" s="2" t="s">
        <v>301</v>
      </c>
      <c r="B67" s="2" t="s">
        <v>46</v>
      </c>
      <c r="C67" s="2" t="s">
        <v>384</v>
      </c>
      <c r="D67" s="2" t="n">
        <v>23</v>
      </c>
      <c r="E67" s="2" t="n">
        <v>35683</v>
      </c>
      <c r="F67" s="2" t="n">
        <v>29369</v>
      </c>
      <c r="G67" s="2" t="n">
        <v>0.398</v>
      </c>
      <c r="H67" s="2" t="n">
        <v>0.426</v>
      </c>
    </row>
    <row r="68" customFormat="false" ht="15" hidden="false" customHeight="false" outlineLevel="0" collapsed="false">
      <c r="A68" s="2" t="s">
        <v>311</v>
      </c>
      <c r="B68" s="2" t="s">
        <v>65</v>
      </c>
      <c r="C68" s="2" t="s">
        <v>385</v>
      </c>
      <c r="D68" s="2" t="n">
        <v>7</v>
      </c>
      <c r="E68" s="2" t="n">
        <v>47798</v>
      </c>
      <c r="F68" s="2" t="n">
        <v>38615</v>
      </c>
      <c r="G68" s="2" t="n">
        <v>0.291</v>
      </c>
      <c r="H68" s="2" t="n">
        <v>0.304</v>
      </c>
    </row>
    <row r="69" customFormat="false" ht="15" hidden="false" customHeight="false" outlineLevel="0" collapsed="false">
      <c r="A69" s="2" t="s">
        <v>313</v>
      </c>
      <c r="B69" s="2" t="s">
        <v>38</v>
      </c>
      <c r="C69" s="2" t="s">
        <v>385</v>
      </c>
      <c r="D69" s="2" t="n">
        <v>16</v>
      </c>
      <c r="E69" s="2" t="n">
        <v>8946</v>
      </c>
      <c r="F69" s="2" t="n">
        <v>6789</v>
      </c>
      <c r="G69" s="2" t="n">
        <v>0.45</v>
      </c>
      <c r="H69" s="2" t="n">
        <v>0.496</v>
      </c>
    </row>
    <row r="70" customFormat="false" ht="15" hidden="false" customHeight="false" outlineLevel="0" collapsed="false">
      <c r="A70" s="2" t="s">
        <v>313</v>
      </c>
      <c r="B70" s="2" t="s">
        <v>44</v>
      </c>
      <c r="C70" s="2" t="s">
        <v>384</v>
      </c>
      <c r="D70" s="2" t="n">
        <v>25</v>
      </c>
      <c r="E70" s="2" t="n">
        <v>8965</v>
      </c>
      <c r="F70" s="2" t="n">
        <v>6076</v>
      </c>
      <c r="G70" s="2" t="n">
        <v>0.435</v>
      </c>
      <c r="H70" s="2" t="n">
        <v>0.429</v>
      </c>
    </row>
    <row r="71" customFormat="false" ht="15" hidden="false" customHeight="false" outlineLevel="0" collapsed="false">
      <c r="A71" s="2" t="s">
        <v>313</v>
      </c>
      <c r="B71" s="2" t="s">
        <v>46</v>
      </c>
      <c r="C71" s="2" t="s">
        <v>384</v>
      </c>
      <c r="D71" s="2" t="n">
        <v>27</v>
      </c>
      <c r="E71" s="2" t="n">
        <v>8555</v>
      </c>
      <c r="F71" s="2" t="n">
        <v>6108</v>
      </c>
      <c r="G71" s="2" t="n">
        <v>0.382</v>
      </c>
      <c r="H71" s="2" t="n">
        <v>0.389</v>
      </c>
    </row>
    <row r="72" customFormat="false" ht="15" hidden="false" customHeight="false" outlineLevel="0" collapsed="false">
      <c r="A72" s="2" t="s">
        <v>313</v>
      </c>
      <c r="B72" s="2" t="s">
        <v>53</v>
      </c>
      <c r="C72" s="2" t="s">
        <v>384</v>
      </c>
      <c r="D72" s="2" t="n">
        <v>31</v>
      </c>
      <c r="E72" s="2" t="n">
        <v>31099</v>
      </c>
      <c r="F72" s="2" t="n">
        <v>25628</v>
      </c>
      <c r="G72" s="2" t="n">
        <v>0.319</v>
      </c>
      <c r="H72" s="2" t="n">
        <v>0.309</v>
      </c>
    </row>
    <row r="73" customFormat="false" ht="15" hidden="false" customHeight="false" outlineLevel="0" collapsed="false">
      <c r="A73" s="2" t="s">
        <v>313</v>
      </c>
      <c r="B73" s="2" t="s">
        <v>58</v>
      </c>
      <c r="C73" s="2" t="s">
        <v>384</v>
      </c>
      <c r="D73" s="2" t="n">
        <v>30</v>
      </c>
      <c r="E73" s="2" t="n">
        <v>17196</v>
      </c>
      <c r="F73" s="2" t="n">
        <v>14192</v>
      </c>
      <c r="G73" s="2" t="n">
        <v>0.384</v>
      </c>
      <c r="H73" s="2" t="n">
        <v>0.358</v>
      </c>
    </row>
    <row r="74" customFormat="false" ht="15" hidden="false" customHeight="false" outlineLevel="0" collapsed="false">
      <c r="A74" s="2" t="s">
        <v>313</v>
      </c>
      <c r="B74" s="2" t="s">
        <v>61</v>
      </c>
      <c r="C74" s="2" t="s">
        <v>385</v>
      </c>
      <c r="D74" s="2" t="n">
        <v>15</v>
      </c>
      <c r="E74" s="2" t="n">
        <v>4940</v>
      </c>
      <c r="F74" s="2" t="n">
        <v>4252</v>
      </c>
      <c r="G74" s="2" t="n">
        <v>0.625</v>
      </c>
      <c r="H74" s="2" t="n">
        <v>0.442</v>
      </c>
    </row>
    <row r="75" customFormat="false" ht="15" hidden="false" customHeight="false" outlineLevel="0" collapsed="false">
      <c r="A75" s="2" t="s">
        <v>317</v>
      </c>
      <c r="B75" s="2" t="s">
        <v>50</v>
      </c>
      <c r="C75" s="2" t="s">
        <v>384</v>
      </c>
      <c r="D75" s="2" t="n">
        <v>22</v>
      </c>
      <c r="E75" s="2" t="n">
        <v>120819</v>
      </c>
      <c r="F75" s="2" t="n">
        <v>93713</v>
      </c>
      <c r="G75" s="2" t="n">
        <v>0.314</v>
      </c>
      <c r="H75" s="2" t="n">
        <v>0.297</v>
      </c>
    </row>
    <row r="76" customFormat="false" ht="15" hidden="false" customHeight="false" outlineLevel="0" collapsed="false">
      <c r="A76" s="2" t="s">
        <v>317</v>
      </c>
      <c r="B76" s="2" t="s">
        <v>62</v>
      </c>
      <c r="C76" s="2" t="s">
        <v>384</v>
      </c>
      <c r="D76" s="2" t="n">
        <v>31</v>
      </c>
      <c r="E76" s="2" t="n">
        <v>124647</v>
      </c>
      <c r="F76" s="2" t="n">
        <v>98888</v>
      </c>
      <c r="G76" s="2" t="n">
        <v>0.333</v>
      </c>
      <c r="H76" s="2" t="n">
        <v>0.31</v>
      </c>
    </row>
    <row r="77" customFormat="false" ht="15" hidden="false" customHeight="false" outlineLevel="0" collapsed="false">
      <c r="A77" s="2" t="s">
        <v>324</v>
      </c>
      <c r="B77" s="2" t="s">
        <v>52</v>
      </c>
      <c r="C77" s="2" t="s">
        <v>385</v>
      </c>
      <c r="D77" s="2" t="n">
        <v>1</v>
      </c>
      <c r="E77" s="2" t="n">
        <v>3289</v>
      </c>
      <c r="F77" s="2" t="n">
        <v>794</v>
      </c>
      <c r="G77" s="2" t="n">
        <v>0.618</v>
      </c>
      <c r="H77" s="2" t="n">
        <v>0.346</v>
      </c>
    </row>
    <row r="78" customFormat="false" ht="15" hidden="false" customHeight="false" outlineLevel="0" collapsed="false">
      <c r="A78" s="2" t="s">
        <v>324</v>
      </c>
      <c r="B78" s="2" t="s">
        <v>53</v>
      </c>
      <c r="C78" s="2" t="s">
        <v>384</v>
      </c>
      <c r="D78" s="2" t="n">
        <v>31</v>
      </c>
      <c r="E78" s="2" t="n">
        <v>148564</v>
      </c>
      <c r="F78" s="2" t="n">
        <v>119434</v>
      </c>
      <c r="G78" s="2" t="n">
        <v>0.3</v>
      </c>
      <c r="H78" s="2" t="n">
        <v>0.324</v>
      </c>
    </row>
    <row r="79" customFormat="false" ht="15" hidden="false" customHeight="false" outlineLevel="0" collapsed="false">
      <c r="A79" s="2" t="s">
        <v>333</v>
      </c>
      <c r="B79" s="2" t="s">
        <v>59</v>
      </c>
      <c r="C79" s="2" t="s">
        <v>385</v>
      </c>
      <c r="D79" s="2" t="n">
        <v>17</v>
      </c>
      <c r="E79" s="2" t="n">
        <v>24809</v>
      </c>
      <c r="F79" s="2" t="n">
        <v>9510</v>
      </c>
      <c r="G79" s="2" t="n">
        <v>0.525</v>
      </c>
      <c r="H79" s="2" t="n">
        <v>0.451</v>
      </c>
    </row>
    <row r="80" customFormat="false" ht="15" hidden="false" customHeight="false" outlineLevel="0" collapsed="false">
      <c r="A80" s="2" t="s">
        <v>333</v>
      </c>
      <c r="B80" s="2" t="s">
        <v>67</v>
      </c>
      <c r="C80" s="2" t="s">
        <v>384</v>
      </c>
      <c r="D80" s="2" t="n">
        <v>31</v>
      </c>
      <c r="E80" s="2" t="n">
        <v>244406</v>
      </c>
      <c r="F80" s="2" t="n">
        <v>196802</v>
      </c>
      <c r="G80" s="2" t="n">
        <v>0.287</v>
      </c>
      <c r="H80" s="2" t="n">
        <v>0.299</v>
      </c>
    </row>
    <row r="81" customFormat="false" ht="15" hidden="false" customHeight="false" outlineLevel="0" collapsed="false">
      <c r="A81" s="2" t="s">
        <v>344</v>
      </c>
      <c r="B81" s="2" t="s">
        <v>76</v>
      </c>
      <c r="C81" s="2" t="s">
        <v>384</v>
      </c>
      <c r="D81" s="2" t="n">
        <v>25</v>
      </c>
      <c r="E81" s="2" t="n">
        <v>86186</v>
      </c>
      <c r="F81" s="2" t="n">
        <v>64567</v>
      </c>
      <c r="G81" s="2" t="n">
        <v>0.397</v>
      </c>
      <c r="H81" s="2" t="n">
        <v>0.347</v>
      </c>
    </row>
    <row r="82" customFormat="false" ht="15" hidden="false" customHeight="false" outlineLevel="0" collapsed="false">
      <c r="A82" s="2" t="s">
        <v>353</v>
      </c>
      <c r="B82" s="2" t="s">
        <v>46</v>
      </c>
      <c r="C82" s="2" t="s">
        <v>385</v>
      </c>
      <c r="D82" s="2" t="n">
        <v>15</v>
      </c>
      <c r="E82" s="2" t="n">
        <v>310564</v>
      </c>
      <c r="F82" s="2" t="n">
        <v>129447</v>
      </c>
      <c r="G82" s="2" t="n">
        <v>0.309</v>
      </c>
      <c r="H82" s="2" t="n">
        <v>0.308</v>
      </c>
    </row>
    <row r="83" customFormat="false" ht="15" hidden="false" customHeight="false" outlineLevel="0" collapsed="false">
      <c r="A83" s="2" t="s">
        <v>358</v>
      </c>
      <c r="B83" s="2" t="s">
        <v>38</v>
      </c>
      <c r="C83" s="2" t="s">
        <v>385</v>
      </c>
      <c r="D83" s="2" t="n">
        <v>19</v>
      </c>
      <c r="E83" s="2" t="n">
        <v>2643</v>
      </c>
      <c r="F83" s="2" t="n">
        <v>2481</v>
      </c>
      <c r="G83" s="2" t="n">
        <v>0.746</v>
      </c>
      <c r="H83" s="2" t="n">
        <v>0.846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1"/>
    <col collapsed="false" customWidth="true" hidden="false" outlineLevel="0" max="4" min="2" style="0" width="9"/>
    <col collapsed="false" customWidth="true" hidden="false" outlineLevel="0" max="5" min="5" style="0" width="17"/>
    <col collapsed="false" customWidth="true" hidden="false" outlineLevel="0" max="6" min="6" style="0" width="34"/>
    <col collapsed="false" customWidth="true" hidden="false" outlineLevel="0" max="7" min="7" style="0" width="16"/>
    <col collapsed="false" customWidth="true" hidden="false" outlineLevel="0" max="8" min="8" style="0" width="34"/>
    <col collapsed="false" customWidth="true" hidden="false" outlineLevel="0" max="9" min="9" style="0" width="20"/>
    <col collapsed="false" customWidth="true" hidden="false" outlineLevel="0" max="10" min="10" style="0" width="25"/>
    <col collapsed="false" customWidth="true" hidden="false" outlineLevel="0" max="11" min="11" style="0" width="34"/>
  </cols>
  <sheetData>
    <row r="1" customFormat="false" ht="42" hidden="false" customHeight="true" outlineLevel="0" collapsed="false">
      <c r="A1" s="7" t="s">
        <v>16</v>
      </c>
      <c r="B1" s="7" t="s">
        <v>386</v>
      </c>
      <c r="C1" s="7" t="s">
        <v>387</v>
      </c>
      <c r="D1" s="7" t="s">
        <v>388</v>
      </c>
      <c r="E1" s="7" t="s">
        <v>23</v>
      </c>
      <c r="F1" s="7" t="s">
        <v>25</v>
      </c>
      <c r="G1" s="7" t="s">
        <v>27</v>
      </c>
      <c r="H1" s="7" t="s">
        <v>28</v>
      </c>
      <c r="I1" s="7" t="s">
        <v>389</v>
      </c>
      <c r="J1" s="7" t="s">
        <v>390</v>
      </c>
      <c r="K1" s="7" t="s">
        <v>391</v>
      </c>
    </row>
    <row r="2" customFormat="false" ht="15" hidden="false" customHeight="false" outlineLevel="0" collapsed="false">
      <c r="A2" s="2" t="s">
        <v>37</v>
      </c>
      <c r="B2" s="2" t="n">
        <v>20</v>
      </c>
      <c r="C2" s="2" t="s">
        <v>38</v>
      </c>
      <c r="D2" s="2" t="s">
        <v>68</v>
      </c>
      <c r="E2" s="8" t="n">
        <v>1119572</v>
      </c>
      <c r="F2" s="9" t="n">
        <f aca="false">E2/SUMIFS('Site-months'!$I$2:$I$512,'Site-months'!$A$2:$A$512,A2)</f>
        <v>0.336575716398706</v>
      </c>
      <c r="G2" s="8" t="n">
        <v>1121744</v>
      </c>
      <c r="H2" s="9" t="n">
        <f aca="false">G2/SUMIFS('Site-months'!$I$2:$I$512,'Site-months'!$A$2:$A$512,A2)</f>
        <v>0.337228682403588</v>
      </c>
      <c r="I2" s="10" t="n">
        <f aca="false">G2/E2-1</f>
        <v>0.00194002708177776</v>
      </c>
      <c r="J2" s="10" t="n">
        <v>0.045</v>
      </c>
      <c r="K2" s="10" t="n">
        <f aca="false">G2/SUMIFS('Site-months'!$N$2:$N$512,'Site-months'!$A$2:$A$512,A2)-1</f>
        <v>-0.0101941503418787</v>
      </c>
    </row>
    <row r="3" customFormat="false" ht="15" hidden="false" customHeight="false" outlineLevel="0" collapsed="false">
      <c r="A3" s="2" t="s">
        <v>69</v>
      </c>
      <c r="B3" s="2" t="n">
        <v>13</v>
      </c>
      <c r="C3" s="2" t="s">
        <v>38</v>
      </c>
      <c r="D3" s="2" t="s">
        <v>61</v>
      </c>
      <c r="E3" s="8" t="n">
        <v>946297</v>
      </c>
      <c r="F3" s="9" t="n">
        <f aca="false">E3/SUMIFS('Site-months'!$I$2:$I$512,'Site-months'!$A$2:$A$512,A3)</f>
        <v>0.359824479017143</v>
      </c>
      <c r="G3" s="8" t="n">
        <v>941479</v>
      </c>
      <c r="H3" s="9" t="n">
        <f aca="false">G3/SUMIFS('Site-months'!$I$2:$I$512,'Site-months'!$A$2:$A$512,A3)</f>
        <v>0.357992459746339</v>
      </c>
      <c r="I3" s="10" t="n">
        <f aca="false">G3/E3-1</f>
        <v>-0.00509142478524183</v>
      </c>
      <c r="J3" s="10" t="n">
        <v>0.0511</v>
      </c>
      <c r="K3" s="10" t="n">
        <f aca="false">G3/SUMIFS('Site-months'!$N$2:$N$512,'Site-months'!$A$2:$A$512,A3)-1</f>
        <v>0.0325351799107931</v>
      </c>
    </row>
    <row r="4" customFormat="false" ht="15" hidden="false" customHeight="false" outlineLevel="0" collapsed="false">
      <c r="A4" s="2" t="s">
        <v>80</v>
      </c>
      <c r="B4" s="2" t="n">
        <v>9</v>
      </c>
      <c r="C4" s="2" t="s">
        <v>44</v>
      </c>
      <c r="D4" s="2" t="s">
        <v>59</v>
      </c>
      <c r="E4" s="8" t="n">
        <v>323234</v>
      </c>
      <c r="F4" s="9" t="n">
        <f aca="false">E4/SUMIFS('Site-months'!$I$2:$I$512,'Site-months'!$A$2:$A$512,A4)</f>
        <v>0.353319509558408</v>
      </c>
      <c r="G4" s="8" t="n">
        <v>321262</v>
      </c>
      <c r="H4" s="9" t="n">
        <f aca="false">G4/SUMIFS('Site-months'!$I$2:$I$512,'Site-months'!$A$2:$A$512,A4)</f>
        <v>0.351163962577431</v>
      </c>
      <c r="I4" s="10" t="n">
        <f aca="false">G4/E4-1</f>
        <v>-0.00610084335187511</v>
      </c>
      <c r="J4" s="10" t="n">
        <v>0.1248</v>
      </c>
      <c r="K4" s="10" t="n">
        <f aca="false">G4/SUMIFS('Site-months'!$N$2:$N$512,'Site-months'!$A$2:$A$512,A4)-1</f>
        <v>0.0531937213968188</v>
      </c>
    </row>
    <row r="5" customFormat="false" ht="15" hidden="false" customHeight="false" outlineLevel="0" collapsed="false">
      <c r="A5" s="2" t="s">
        <v>90</v>
      </c>
      <c r="B5" s="2" t="n">
        <v>19</v>
      </c>
      <c r="C5" s="2" t="s">
        <v>44</v>
      </c>
      <c r="D5" s="2" t="s">
        <v>68</v>
      </c>
      <c r="E5" s="8" t="n">
        <v>2355267</v>
      </c>
      <c r="F5" s="9" t="n">
        <f aca="false">E5/SUMIFS('Site-months'!$I$2:$I$512,'Site-months'!$A$2:$A$512,A5)</f>
        <v>0.316776732420985</v>
      </c>
      <c r="G5" s="8" t="n">
        <v>2420389</v>
      </c>
      <c r="H5" s="9" t="n">
        <f aca="false">G5/SUMIFS('Site-months'!$I$2:$I$512,'Site-months'!$A$2:$A$512,A5)</f>
        <v>0.325535456747662</v>
      </c>
      <c r="I5" s="10" t="n">
        <f aca="false">G5/E5-1</f>
        <v>0.0276495191415664</v>
      </c>
      <c r="J5" s="10" t="n">
        <v>0.0514</v>
      </c>
      <c r="K5" s="10" t="n">
        <f aca="false">G5/SUMIFS('Site-months'!$N$2:$N$512,'Site-months'!$A$2:$A$512,A5)-1</f>
        <v>0.0295304394282516</v>
      </c>
    </row>
    <row r="6" customFormat="false" ht="15" hidden="false" customHeight="false" outlineLevel="0" collapsed="false">
      <c r="A6" s="2" t="s">
        <v>105</v>
      </c>
      <c r="B6" s="2" t="n">
        <v>14</v>
      </c>
      <c r="C6" s="2" t="s">
        <v>76</v>
      </c>
      <c r="D6" s="2" t="s">
        <v>65</v>
      </c>
      <c r="E6" s="8" t="n">
        <v>569292</v>
      </c>
      <c r="F6" s="9" t="n">
        <f aca="false">E6/SUMIFS('Site-months'!$I$2:$I$512,'Site-months'!$A$2:$A$512,A6)</f>
        <v>0.336314103946326</v>
      </c>
      <c r="G6" s="8" t="n">
        <v>571436</v>
      </c>
      <c r="H6" s="9" t="n">
        <f aca="false">G6/SUMIFS('Site-months'!$I$2:$I$512,'Site-months'!$A$2:$A$512,A6)</f>
        <v>0.337580690230449</v>
      </c>
      <c r="I6" s="10" t="n">
        <f aca="false">G6/E6-1</f>
        <v>0.00376608137827339</v>
      </c>
      <c r="J6" s="10" t="n">
        <v>0.0546</v>
      </c>
      <c r="K6" s="10" t="n">
        <f aca="false">G6/SUMIFS('Site-months'!$N$2:$N$512,'Site-months'!$A$2:$A$512,A6)-1</f>
        <v>-0.00303571677809256</v>
      </c>
    </row>
    <row r="7" customFormat="false" ht="15" hidden="false" customHeight="false" outlineLevel="0" collapsed="false">
      <c r="A7" s="2" t="s">
        <v>111</v>
      </c>
      <c r="B7" s="2" t="n">
        <v>5</v>
      </c>
      <c r="C7" s="2" t="s">
        <v>44</v>
      </c>
      <c r="D7" s="2" t="s">
        <v>52</v>
      </c>
      <c r="E7" s="8" t="n">
        <v>537936</v>
      </c>
      <c r="F7" s="9" t="n">
        <f aca="false">E7/SUMIFS('Site-months'!$I$2:$I$512,'Site-months'!$A$2:$A$512,A7)</f>
        <v>0.335515901478816</v>
      </c>
      <c r="G7" s="8" t="n">
        <v>507671</v>
      </c>
      <c r="H7" s="9" t="n">
        <f aca="false">G7/SUMIFS('Site-months'!$I$2:$I$512,'Site-months'!$A$2:$A$512,A7)</f>
        <v>0.316639327391459</v>
      </c>
      <c r="I7" s="10" t="n">
        <f aca="false">G7/E7-1</f>
        <v>-0.0562613396389161</v>
      </c>
      <c r="J7" s="10" t="n">
        <v>0.0497</v>
      </c>
      <c r="K7" s="10" t="n">
        <f aca="false">G7/SUMIFS('Site-months'!$N$2:$N$512,'Site-months'!$A$2:$A$512,A7)-1</f>
        <v>0.0122182943436555</v>
      </c>
    </row>
    <row r="8" customFormat="false" ht="15" hidden="false" customHeight="false" outlineLevel="0" collapsed="false">
      <c r="A8" s="2" t="s">
        <v>117</v>
      </c>
      <c r="B8" s="2" t="n">
        <v>5</v>
      </c>
      <c r="C8" s="2" t="s">
        <v>64</v>
      </c>
      <c r="D8" s="2" t="s">
        <v>68</v>
      </c>
      <c r="E8" s="8" t="n">
        <v>1093909</v>
      </c>
      <c r="F8" s="9" t="n">
        <f aca="false">E8/SUMIFS('Site-months'!$I$2:$I$512,'Site-months'!$A$2:$A$512,A8)</f>
        <v>0.301480574657651</v>
      </c>
      <c r="G8" s="8" t="n">
        <v>1116931</v>
      </c>
      <c r="H8" s="9" t="n">
        <f aca="false">G8/SUMIFS('Site-months'!$I$2:$I$512,'Site-months'!$A$2:$A$512,A8)</f>
        <v>0.307825422163036</v>
      </c>
      <c r="I8" s="10" t="n">
        <f aca="false">G8/E8-1</f>
        <v>0.021045626281528</v>
      </c>
      <c r="J8" s="10" t="n">
        <v>0.0203</v>
      </c>
      <c r="K8" s="10" t="n">
        <f aca="false">G8/SUMIFS('Site-months'!$N$2:$N$512,'Site-months'!$A$2:$A$512,A8)-1</f>
        <v>0.0058798525218795</v>
      </c>
    </row>
    <row r="9" customFormat="false" ht="15" hidden="false" customHeight="false" outlineLevel="0" collapsed="false">
      <c r="A9" s="2" t="s">
        <v>122</v>
      </c>
      <c r="B9" s="2" t="n">
        <v>10</v>
      </c>
      <c r="C9" s="2" t="s">
        <v>59</v>
      </c>
      <c r="D9" s="2" t="s">
        <v>68</v>
      </c>
      <c r="E9" s="8" t="n">
        <v>631455</v>
      </c>
      <c r="F9" s="9" t="n">
        <f aca="false">E9/SUMIFS('Site-months'!$I$2:$I$512,'Site-months'!$A$2:$A$512,A9)</f>
        <v>0.338134308057755</v>
      </c>
      <c r="G9" s="8" t="n">
        <v>624303</v>
      </c>
      <c r="H9" s="9" t="n">
        <f aca="false">G9/SUMIFS('Site-months'!$I$2:$I$512,'Site-months'!$A$2:$A$512,A9)</f>
        <v>0.334304523558101</v>
      </c>
      <c r="I9" s="10" t="n">
        <f aca="false">G9/E9-1</f>
        <v>-0.0113262227712189</v>
      </c>
      <c r="J9" s="10" t="n">
        <v>0.0218</v>
      </c>
      <c r="K9" s="10" t="n">
        <f aca="false">G9/SUMIFS('Site-months'!$N$2:$N$512,'Site-months'!$A$2:$A$512,A9)-1</f>
        <v>-0.00736956583955817</v>
      </c>
    </row>
    <row r="10" customFormat="false" ht="15" hidden="false" customHeight="false" outlineLevel="0" collapsed="false">
      <c r="A10" s="2" t="s">
        <v>127</v>
      </c>
      <c r="B10" s="2" t="n">
        <v>8</v>
      </c>
      <c r="C10" s="2" t="s">
        <v>61</v>
      </c>
      <c r="D10" s="2" t="s">
        <v>68</v>
      </c>
      <c r="E10" s="8" t="n">
        <v>744631</v>
      </c>
      <c r="F10" s="9" t="n">
        <f aca="false">E10/SUMIFS('Site-months'!$I$2:$I$512,'Site-months'!$A$2:$A$512,A10)</f>
        <v>0.277880567828995</v>
      </c>
      <c r="G10" s="8" t="n">
        <v>876090</v>
      </c>
      <c r="H10" s="9" t="n">
        <f aca="false">G10/SUMIFS('Site-months'!$I$2:$I$512,'Site-months'!$A$2:$A$512,A10)</f>
        <v>0.326938291139241</v>
      </c>
      <c r="I10" s="10" t="n">
        <f aca="false">G10/E10-1</f>
        <v>0.176542475400568</v>
      </c>
      <c r="J10" s="10" t="n">
        <v>0.1815</v>
      </c>
      <c r="K10" s="10" t="n">
        <f aca="false">G10/SUMIFS('Site-months'!$N$2:$N$512,'Site-months'!$A$2:$A$512,A10)-1</f>
        <v>-0.00454385863247919</v>
      </c>
    </row>
    <row r="11" customFormat="false" ht="15" hidden="false" customHeight="false" outlineLevel="0" collapsed="false">
      <c r="A11" s="2" t="s">
        <v>131</v>
      </c>
      <c r="B11" s="2" t="n">
        <v>7</v>
      </c>
      <c r="C11" s="2" t="s">
        <v>61</v>
      </c>
      <c r="D11" s="2" t="s">
        <v>68</v>
      </c>
      <c r="E11" s="8" t="n">
        <v>139744</v>
      </c>
      <c r="F11" s="9" t="n">
        <f aca="false">E11/SUMIFS('Site-months'!$I$2:$I$512,'Site-months'!$A$2:$A$512,A11)</f>
        <v>0.452892315570118</v>
      </c>
      <c r="G11" s="8" t="n">
        <v>149021</v>
      </c>
      <c r="H11" s="9" t="n">
        <f aca="false">G11/SUMIFS('Site-months'!$I$2:$I$512,'Site-months'!$A$2:$A$512,A11)</f>
        <v>0.482957878396028</v>
      </c>
      <c r="I11" s="10" t="n">
        <f aca="false">G11/E11-1</f>
        <v>0.0663856766659035</v>
      </c>
      <c r="J11" s="10" t="n">
        <v>0.1527</v>
      </c>
      <c r="K11" s="10" t="n">
        <f aca="false">G11/SUMIFS('Site-months'!$N$2:$N$512,'Site-months'!$A$2:$A$512,A11)-1</f>
        <v>0.043301408608474</v>
      </c>
    </row>
    <row r="12" customFormat="false" ht="15" hidden="false" customHeight="false" outlineLevel="0" collapsed="false">
      <c r="A12" s="2" t="s">
        <v>139</v>
      </c>
      <c r="B12" s="2" t="n">
        <v>19</v>
      </c>
      <c r="C12" s="2" t="s">
        <v>38</v>
      </c>
      <c r="D12" s="2" t="s">
        <v>68</v>
      </c>
      <c r="E12" s="8" t="n">
        <v>381852</v>
      </c>
      <c r="F12" s="9" t="n">
        <f aca="false">E12/SUMIFS('Site-months'!$I$2:$I$512,'Site-months'!$A$2:$A$512,A12)</f>
        <v>0.49975787685486</v>
      </c>
      <c r="G12" s="8" t="n">
        <v>352375</v>
      </c>
      <c r="H12" s="9" t="n">
        <f aca="false">G12/SUMIFS('Site-months'!$I$2:$I$512,'Site-months'!$A$2:$A$512,A12)</f>
        <v>0.461179152804571</v>
      </c>
      <c r="I12" s="10" t="n">
        <f aca="false">G12/E12-1</f>
        <v>-0.0771948294103475</v>
      </c>
      <c r="J12" s="10" t="n">
        <v>0.0867</v>
      </c>
      <c r="K12" s="10" t="n">
        <f aca="false">G12/SUMIFS('Site-months'!$N$2:$N$512,'Site-months'!$A$2:$A$512,A12)-1</f>
        <v>-0.0632659354447676</v>
      </c>
    </row>
    <row r="13" customFormat="false" ht="15" hidden="false" customHeight="false" outlineLevel="0" collapsed="false">
      <c r="A13" s="2" t="s">
        <v>151</v>
      </c>
      <c r="B13" s="2" t="n">
        <v>18</v>
      </c>
      <c r="C13" s="2" t="s">
        <v>38</v>
      </c>
      <c r="D13" s="2" t="s">
        <v>68</v>
      </c>
      <c r="E13" s="8" t="n">
        <v>156131</v>
      </c>
      <c r="F13" s="9" t="n">
        <f aca="false">E13/SUMIFS('Site-months'!$I$2:$I$512,'Site-months'!$A$2:$A$512,A13)</f>
        <v>0.46815470925299</v>
      </c>
      <c r="G13" s="8" t="n">
        <v>156960</v>
      </c>
      <c r="H13" s="9" t="n">
        <f aca="false">G13/SUMIFS('Site-months'!$I$2:$I$512,'Site-months'!$A$2:$A$512,A13)</f>
        <v>0.470640444013997</v>
      </c>
      <c r="I13" s="10" t="n">
        <f aca="false">G13/E13-1</f>
        <v>0.00530964382473687</v>
      </c>
      <c r="J13" s="10" t="n">
        <v>0.0776</v>
      </c>
      <c r="K13" s="10" t="n">
        <f aca="false">G13/SUMIFS('Site-months'!$N$2:$N$512,'Site-months'!$A$2:$A$512,A13)-1</f>
        <v>-0.0034348988260392</v>
      </c>
    </row>
    <row r="14" customFormat="false" ht="15" hidden="false" customHeight="false" outlineLevel="0" collapsed="false">
      <c r="A14" s="2" t="s">
        <v>157</v>
      </c>
      <c r="B14" s="2" t="n">
        <v>17</v>
      </c>
      <c r="C14" s="2" t="s">
        <v>38</v>
      </c>
      <c r="D14" s="2" t="s">
        <v>68</v>
      </c>
      <c r="E14" s="8" t="n">
        <v>152505</v>
      </c>
      <c r="F14" s="9" t="n">
        <f aca="false">E14/SUMIFS('Site-months'!$I$2:$I$512,'Site-months'!$A$2:$A$512,A14)</f>
        <v>0.456941082001007</v>
      </c>
      <c r="G14" s="8" t="n">
        <v>136967</v>
      </c>
      <c r="H14" s="9" t="n">
        <f aca="false">G14/SUMIFS('Site-months'!$I$2:$I$512,'Site-months'!$A$2:$A$512,A14)</f>
        <v>0.410385555741988</v>
      </c>
      <c r="I14" s="10" t="n">
        <f aca="false">G14/E14-1</f>
        <v>-0.101885184092325</v>
      </c>
      <c r="J14" s="10" t="n">
        <v>0.0825</v>
      </c>
      <c r="K14" s="10" t="n">
        <f aca="false">G14/SUMIFS('Site-months'!$N$2:$N$512,'Site-months'!$A$2:$A$512,A14)-1</f>
        <v>-0.00462199225307591</v>
      </c>
    </row>
    <row r="15" customFormat="false" ht="15" hidden="false" customHeight="false" outlineLevel="0" collapsed="false">
      <c r="A15" s="2" t="s">
        <v>162</v>
      </c>
      <c r="B15" s="2" t="n">
        <v>15</v>
      </c>
      <c r="C15" s="2" t="s">
        <v>76</v>
      </c>
      <c r="D15" s="2" t="s">
        <v>68</v>
      </c>
      <c r="E15" s="8" t="n">
        <v>2406769</v>
      </c>
      <c r="F15" s="9" t="n">
        <f aca="false">E15/SUMIFS('Site-months'!$I$2:$I$512,'Site-months'!$A$2:$A$512,A15)</f>
        <v>0.335544252873243</v>
      </c>
      <c r="G15" s="8" t="n">
        <v>2272463</v>
      </c>
      <c r="H15" s="9" t="n">
        <f aca="false">G15/SUMIFS('Site-months'!$I$2:$I$512,'Site-months'!$A$2:$A$512,A15)</f>
        <v>0.316819727824767</v>
      </c>
      <c r="I15" s="10" t="n">
        <f aca="false">G15/E15-1</f>
        <v>-0.0558034443687783</v>
      </c>
      <c r="J15" s="10" t="n">
        <v>0.0327</v>
      </c>
      <c r="K15" s="10" t="n">
        <f aca="false">G15/SUMIFS('Site-months'!$N$2:$N$512,'Site-months'!$A$2:$A$512,A15)-1</f>
        <v>-0.010079708939093</v>
      </c>
    </row>
    <row r="16" customFormat="false" ht="15" hidden="false" customHeight="false" outlineLevel="0" collapsed="false">
      <c r="A16" s="2" t="s">
        <v>170</v>
      </c>
      <c r="B16" s="2" t="n">
        <v>12</v>
      </c>
      <c r="C16" s="2" t="s">
        <v>54</v>
      </c>
      <c r="D16" s="2" t="s">
        <v>68</v>
      </c>
      <c r="E16" s="8" t="n">
        <v>3771083</v>
      </c>
      <c r="F16" s="9" t="n">
        <f aca="false">E16/SUMIFS('Site-months'!$I$2:$I$512,'Site-months'!$A$2:$A$512,A16)</f>
        <v>0.307124537928638</v>
      </c>
      <c r="G16" s="8" t="n">
        <v>3898880</v>
      </c>
      <c r="H16" s="9" t="n">
        <f aca="false">G16/SUMIFS('Site-months'!$I$2:$I$512,'Site-months'!$A$2:$A$512,A16)</f>
        <v>0.317532581075306</v>
      </c>
      <c r="I16" s="10" t="n">
        <f aca="false">G16/E16-1</f>
        <v>0.0338886733598809</v>
      </c>
      <c r="J16" s="10" t="n">
        <v>0.0511</v>
      </c>
      <c r="K16" s="10" t="n">
        <f aca="false">G16/SUMIFS('Site-months'!$N$2:$N$512,'Site-months'!$A$2:$A$512,A16)-1</f>
        <v>-0.00826933985180811</v>
      </c>
    </row>
    <row r="17" customFormat="false" ht="15" hidden="false" customHeight="false" outlineLevel="0" collapsed="false">
      <c r="A17" s="2" t="s">
        <v>185</v>
      </c>
      <c r="B17" s="2" t="n">
        <v>13</v>
      </c>
      <c r="C17" s="2" t="s">
        <v>54</v>
      </c>
      <c r="D17" s="2" t="s">
        <v>68</v>
      </c>
      <c r="E17" s="8" t="n">
        <v>508322</v>
      </c>
      <c r="F17" s="9" t="n">
        <f aca="false">E17/SUMIFS('Site-months'!$I$2:$I$512,'Site-months'!$A$2:$A$512,A17)</f>
        <v>0.314905284703439</v>
      </c>
      <c r="G17" s="8" t="n">
        <v>521623</v>
      </c>
      <c r="H17" s="9" t="n">
        <f aca="false">G17/SUMIFS('Site-months'!$I$2:$I$512,'Site-months'!$A$2:$A$512,A17)</f>
        <v>0.323145249119381</v>
      </c>
      <c r="I17" s="10" t="n">
        <f aca="false">G17/E17-1</f>
        <v>0.0261664850232726</v>
      </c>
      <c r="J17" s="10" t="n">
        <v>0.0466</v>
      </c>
      <c r="K17" s="10" t="n">
        <f aca="false">G17/SUMIFS('Site-months'!$N$2:$N$512,'Site-months'!$A$2:$A$512,A17)-1</f>
        <v>0.00684065557569413</v>
      </c>
    </row>
    <row r="18" customFormat="false" ht="15" hidden="false" customHeight="false" outlineLevel="0" collapsed="false">
      <c r="A18" s="2" t="s">
        <v>192</v>
      </c>
      <c r="B18" s="2" t="n">
        <v>17</v>
      </c>
      <c r="C18" s="2" t="s">
        <v>38</v>
      </c>
      <c r="D18" s="2" t="s">
        <v>66</v>
      </c>
      <c r="E18" s="8" t="n">
        <v>104167</v>
      </c>
      <c r="F18" s="9" t="n">
        <f aca="false">E18/SUMIFS('Site-months'!$I$2:$I$512,'Site-months'!$A$2:$A$512,A18)</f>
        <v>0.634974916031186</v>
      </c>
      <c r="G18" s="8" t="n">
        <v>91594</v>
      </c>
      <c r="H18" s="9" t="n">
        <f aca="false">G18/SUMIFS('Site-months'!$I$2:$I$512,'Site-months'!$A$2:$A$512,A18)</f>
        <v>0.558333180939841</v>
      </c>
      <c r="I18" s="10" t="n">
        <f aca="false">G18/E18-1</f>
        <v>-0.120700413758676</v>
      </c>
      <c r="J18" s="10" t="n">
        <v>0.179</v>
      </c>
      <c r="K18" s="10" t="n">
        <f aca="false">G18/SUMIFS('Site-months'!$N$2:$N$512,'Site-months'!$A$2:$A$512,A18)-1</f>
        <v>-0.000752757383022606</v>
      </c>
    </row>
    <row r="19" customFormat="false" ht="15" hidden="false" customHeight="false" outlineLevel="0" collapsed="false">
      <c r="A19" s="2" t="s">
        <v>199</v>
      </c>
      <c r="B19" s="2" t="n">
        <v>2</v>
      </c>
      <c r="C19" s="2" t="s">
        <v>46</v>
      </c>
      <c r="D19" s="2" t="s">
        <v>76</v>
      </c>
      <c r="E19" s="8" t="n">
        <v>24987</v>
      </c>
      <c r="F19" s="9" t="n">
        <f aca="false">E19/SUMIFS('Site-months'!$I$2:$I$512,'Site-months'!$A$2:$A$512,A19)</f>
        <v>0.381358648372278</v>
      </c>
      <c r="G19" s="8" t="n">
        <v>24810</v>
      </c>
      <c r="H19" s="9" t="n">
        <f aca="false">G19/SUMIFS('Site-months'!$I$2:$I$512,'Site-months'!$A$2:$A$512,A19)</f>
        <v>0.378657224401337</v>
      </c>
      <c r="I19" s="10" t="n">
        <f aca="false">G19/E19-1</f>
        <v>-0.00708368351542799</v>
      </c>
      <c r="J19" s="10" t="n">
        <v>0.0789</v>
      </c>
      <c r="K19" s="10" t="n">
        <f aca="false">G19/SUMIFS('Site-months'!$N$2:$N$512,'Site-months'!$A$2:$A$512,A19)-1</f>
        <v>-0.0355310216140569</v>
      </c>
    </row>
    <row r="20" customFormat="false" ht="15" hidden="false" customHeight="false" outlineLevel="0" collapsed="false">
      <c r="A20" s="2" t="s">
        <v>203</v>
      </c>
      <c r="B20" s="2" t="n">
        <v>15</v>
      </c>
      <c r="C20" s="2" t="s">
        <v>38</v>
      </c>
      <c r="D20" s="2" t="s">
        <v>68</v>
      </c>
      <c r="E20" s="8" t="n">
        <v>281820</v>
      </c>
      <c r="F20" s="9" t="n">
        <f aca="false">E20/SUMIFS('Site-months'!$I$2:$I$512,'Site-months'!$A$2:$A$512,A20)</f>
        <v>0.374365861531656</v>
      </c>
      <c r="G20" s="8" t="n">
        <v>299849</v>
      </c>
      <c r="H20" s="9" t="n">
        <f aca="false">G20/SUMIFS('Site-months'!$I$2:$I$512,'Site-months'!$A$2:$A$512,A20)</f>
        <v>0.398315340339243</v>
      </c>
      <c r="I20" s="10" t="n">
        <f aca="false">G20/E20-1</f>
        <v>0.0639734582357534</v>
      </c>
      <c r="J20" s="10" t="n">
        <v>0.1167</v>
      </c>
      <c r="K20" s="10" t="n">
        <f aca="false">G20/SUMIFS('Site-months'!$N$2:$N$512,'Site-months'!$A$2:$A$512,A20)-1</f>
        <v>0.0179141262577571</v>
      </c>
    </row>
    <row r="21" customFormat="false" ht="15" hidden="false" customHeight="false" outlineLevel="0" collapsed="false">
      <c r="A21" s="2" t="s">
        <v>221</v>
      </c>
      <c r="B21" s="2" t="n">
        <v>17</v>
      </c>
      <c r="C21" s="2" t="s">
        <v>76</v>
      </c>
      <c r="D21" s="2" t="s">
        <v>68</v>
      </c>
      <c r="E21" s="8" t="n">
        <v>486298</v>
      </c>
      <c r="F21" s="9" t="n">
        <f aca="false">E21/SUMIFS('Site-months'!$I$2:$I$512,'Site-months'!$A$2:$A$512,A21)</f>
        <v>0.319979839147454</v>
      </c>
      <c r="G21" s="8" t="n">
        <v>486766</v>
      </c>
      <c r="H21" s="9" t="n">
        <f aca="false">G21/SUMIFS('Site-months'!$I$2:$I$512,'Site-months'!$A$2:$A$512,A21)</f>
        <v>0.320287779062323</v>
      </c>
      <c r="I21" s="10" t="n">
        <f aca="false">G21/E21-1</f>
        <v>0.000962372866020411</v>
      </c>
      <c r="J21" s="10" t="n">
        <v>0.0798</v>
      </c>
      <c r="K21" s="10" t="n">
        <f aca="false">G21/SUMIFS('Site-months'!$N$2:$N$512,'Site-months'!$A$2:$A$512,A21)-1</f>
        <v>-0.00525811349596084</v>
      </c>
    </row>
    <row r="22" customFormat="false" ht="15" hidden="false" customHeight="false" outlineLevel="0" collapsed="false">
      <c r="A22" s="2" t="s">
        <v>236</v>
      </c>
      <c r="B22" s="2" t="n">
        <v>20</v>
      </c>
      <c r="C22" s="2" t="s">
        <v>38</v>
      </c>
      <c r="D22" s="2" t="s">
        <v>68</v>
      </c>
      <c r="E22" s="8" t="n">
        <v>1476040</v>
      </c>
      <c r="F22" s="9" t="n">
        <f aca="false">E22/SUMIFS('Site-months'!$I$2:$I$512,'Site-months'!$A$2:$A$512,A22)</f>
        <v>0.299474311035005</v>
      </c>
      <c r="G22" s="8" t="n">
        <v>1411993</v>
      </c>
      <c r="H22" s="9" t="n">
        <f aca="false">G22/SUMIFS('Site-months'!$I$2:$I$512,'Site-months'!$A$2:$A$512,A22)</f>
        <v>0.286479791104069</v>
      </c>
      <c r="I22" s="10" t="n">
        <f aca="false">G22/E22-1</f>
        <v>-0.0433911005121812</v>
      </c>
      <c r="J22" s="10" t="n">
        <v>0.0488</v>
      </c>
      <c r="K22" s="10" t="n">
        <f aca="false">G22/SUMIFS('Site-months'!$N$2:$N$512,'Site-months'!$A$2:$A$512,A22)-1</f>
        <v>0.00613230705429091</v>
      </c>
    </row>
    <row r="23" customFormat="false" ht="15" hidden="false" customHeight="false" outlineLevel="0" collapsed="false">
      <c r="A23" s="2" t="s">
        <v>257</v>
      </c>
      <c r="B23" s="2" t="n">
        <v>17</v>
      </c>
      <c r="C23" s="2" t="s">
        <v>38</v>
      </c>
      <c r="D23" s="2" t="s">
        <v>68</v>
      </c>
      <c r="E23" s="8" t="n">
        <v>2358495</v>
      </c>
      <c r="F23" s="9" t="n">
        <f aca="false">E23/SUMIFS('Site-months'!$I$2:$I$512,'Site-months'!$A$2:$A$512,A23)</f>
        <v>0.282120946349418</v>
      </c>
      <c r="G23" s="8" t="n">
        <v>2427369</v>
      </c>
      <c r="H23" s="9" t="n">
        <f aca="false">G23/SUMIFS('Site-months'!$I$2:$I$512,'Site-months'!$A$2:$A$512,A23)</f>
        <v>0.29035958923773</v>
      </c>
      <c r="I23" s="10" t="n">
        <f aca="false">G23/E23-1</f>
        <v>0.0292025210992604</v>
      </c>
      <c r="J23" s="10" t="n">
        <v>0.0297</v>
      </c>
      <c r="K23" s="10" t="n">
        <f aca="false">G23/SUMIFS('Site-months'!$N$2:$N$512,'Site-months'!$A$2:$A$512,A23)-1</f>
        <v>0.000230755696060125</v>
      </c>
    </row>
    <row r="24" customFormat="false" ht="15" hidden="false" customHeight="false" outlineLevel="0" collapsed="false">
      <c r="A24" s="2" t="s">
        <v>266</v>
      </c>
      <c r="B24" s="2" t="n">
        <v>1</v>
      </c>
      <c r="C24" s="2" t="s">
        <v>38</v>
      </c>
      <c r="D24" s="2" t="s">
        <v>38</v>
      </c>
      <c r="E24" s="8" t="n">
        <v>21372</v>
      </c>
      <c r="F24" s="9" t="n">
        <f aca="false">E24/SUMIFS('Site-months'!$I$2:$I$512,'Site-months'!$A$2:$A$512,A24)</f>
        <v>0.45487825642772</v>
      </c>
      <c r="G24" s="8" t="n">
        <v>18996</v>
      </c>
      <c r="H24" s="9" t="n">
        <f aca="false">G24/SUMIFS('Site-months'!$I$2:$I$512,'Site-months'!$A$2:$A$512,A24)</f>
        <v>0.404307849480674</v>
      </c>
      <c r="I24" s="10" t="n">
        <f aca="false">G24/E24-1</f>
        <v>-0.111173498034812</v>
      </c>
      <c r="J24" s="10" t="n">
        <v>0.1112</v>
      </c>
      <c r="K24" s="10" t="n">
        <f aca="false">G24/SUMIFS('Site-months'!$N$2:$N$512,'Site-months'!$A$2:$A$512,A24)-1</f>
        <v>-0.0761149749525801</v>
      </c>
    </row>
    <row r="25" customFormat="false" ht="15" hidden="false" customHeight="false" outlineLevel="0" collapsed="false">
      <c r="A25" s="2" t="s">
        <v>269</v>
      </c>
      <c r="B25" s="2" t="n">
        <v>17</v>
      </c>
      <c r="C25" s="2" t="s">
        <v>46</v>
      </c>
      <c r="D25" s="2" t="s">
        <v>68</v>
      </c>
      <c r="E25" s="8" t="n">
        <v>2148146</v>
      </c>
      <c r="F25" s="9" t="n">
        <f aca="false">E25/SUMIFS('Site-months'!$I$2:$I$512,'Site-months'!$A$2:$A$512,A25)</f>
        <v>0.290186317213147</v>
      </c>
      <c r="G25" s="8" t="n">
        <v>2049672</v>
      </c>
      <c r="H25" s="9" t="n">
        <f aca="false">G25/SUMIFS('Site-months'!$I$2:$I$512,'Site-months'!$A$2:$A$512,A25)</f>
        <v>0.276883772878988</v>
      </c>
      <c r="I25" s="10" t="n">
        <f aca="false">G25/E25-1</f>
        <v>-0.0458413906689769</v>
      </c>
      <c r="J25" s="10" t="n">
        <v>0.0354</v>
      </c>
      <c r="K25" s="10" t="n">
        <f aca="false">G25/SUMIFS('Site-months'!$N$2:$N$512,'Site-months'!$A$2:$A$512,A25)-1</f>
        <v>-0.00315006354111502</v>
      </c>
    </row>
    <row r="26" customFormat="false" ht="15" hidden="false" customHeight="false" outlineLevel="0" collapsed="false">
      <c r="A26" s="2" t="s">
        <v>280</v>
      </c>
      <c r="B26" s="2" t="n">
        <v>16</v>
      </c>
      <c r="C26" s="2" t="s">
        <v>38</v>
      </c>
      <c r="D26" s="2" t="s">
        <v>65</v>
      </c>
      <c r="E26" s="8" t="n">
        <v>205461</v>
      </c>
      <c r="F26" s="9" t="n">
        <f aca="false">E26/SUMIFS('Site-months'!$I$2:$I$512,'Site-months'!$A$2:$A$512,A26)</f>
        <v>0.38449777491663</v>
      </c>
      <c r="G26" s="8" t="n">
        <v>192035</v>
      </c>
      <c r="H26" s="9" t="n">
        <f aca="false">G26/SUMIFS('Site-months'!$I$2:$I$512,'Site-months'!$A$2:$A$512,A26)</f>
        <v>0.359372485318941</v>
      </c>
      <c r="I26" s="10" t="n">
        <f aca="false">G26/E26-1</f>
        <v>-0.0653457347136439</v>
      </c>
      <c r="J26" s="10" t="n">
        <v>0.0592</v>
      </c>
      <c r="K26" s="10" t="n">
        <f aca="false">G26/SUMIFS('Site-months'!$N$2:$N$512,'Site-months'!$A$2:$A$512,A26)-1</f>
        <v>0.0197378901645089</v>
      </c>
    </row>
    <row r="27" customFormat="false" ht="15" hidden="false" customHeight="false" outlineLevel="0" collapsed="false">
      <c r="A27" s="2" t="s">
        <v>296</v>
      </c>
      <c r="B27" s="2" t="n">
        <v>18</v>
      </c>
      <c r="C27" s="2" t="s">
        <v>38</v>
      </c>
      <c r="D27" s="2" t="s">
        <v>67</v>
      </c>
      <c r="E27" s="8" t="n">
        <v>149930</v>
      </c>
      <c r="F27" s="9" t="n">
        <f aca="false">E27/SUMIFS('Site-months'!$I$2:$I$512,'Site-months'!$A$2:$A$512,A27)</f>
        <v>0.448820995470779</v>
      </c>
      <c r="G27" s="8" t="n">
        <v>144313</v>
      </c>
      <c r="H27" s="9" t="n">
        <f aca="false">G27/SUMIFS('Site-months'!$I$2:$I$512,'Site-months'!$A$2:$A$512,A27)</f>
        <v>0.432006298401751</v>
      </c>
      <c r="I27" s="10" t="n">
        <f aca="false">G27/E27-1</f>
        <v>-0.0374641499366371</v>
      </c>
      <c r="J27" s="10" t="n">
        <v>0.101</v>
      </c>
      <c r="K27" s="10" t="n">
        <f aca="false">G27/SUMIFS('Site-months'!$N$2:$N$512,'Site-months'!$A$2:$A$512,A27)-1</f>
        <v>0.00769493963452539</v>
      </c>
    </row>
    <row r="28" customFormat="false" ht="15" hidden="false" customHeight="false" outlineLevel="0" collapsed="false">
      <c r="A28" s="2" t="s">
        <v>301</v>
      </c>
      <c r="B28" s="2" t="n">
        <v>20</v>
      </c>
      <c r="C28" s="2" t="s">
        <v>38</v>
      </c>
      <c r="D28" s="2" t="s">
        <v>68</v>
      </c>
      <c r="E28" s="8" t="n">
        <v>324085</v>
      </c>
      <c r="F28" s="9" t="n">
        <f aca="false">E28/SUMIFS('Site-months'!$I$2:$I$512,'Site-months'!$A$2:$A$512,A28)</f>
        <v>0.35604580800102</v>
      </c>
      <c r="G28" s="8" t="n">
        <v>368189</v>
      </c>
      <c r="H28" s="9" t="n">
        <f aca="false">G28/SUMIFS('Site-months'!$I$2:$I$512,'Site-months'!$A$2:$A$512,A28)</f>
        <v>0.404499282602056</v>
      </c>
      <c r="I28" s="10" t="n">
        <f aca="false">G28/E28-1</f>
        <v>0.136087754755697</v>
      </c>
      <c r="J28" s="10" t="n">
        <v>0.1191</v>
      </c>
      <c r="K28" s="10" t="n">
        <f aca="false">G28/SUMIFS('Site-months'!$N$2:$N$512,'Site-months'!$A$2:$A$512,A28)-1</f>
        <v>0.0636320566671096</v>
      </c>
    </row>
    <row r="29" customFormat="false" ht="15" hidden="false" customHeight="false" outlineLevel="0" collapsed="false">
      <c r="A29" s="2" t="s">
        <v>311</v>
      </c>
      <c r="B29" s="2" t="n">
        <v>3</v>
      </c>
      <c r="C29" s="2" t="s">
        <v>66</v>
      </c>
      <c r="D29" s="2" t="s">
        <v>68</v>
      </c>
      <c r="E29" s="8" t="n">
        <v>197542</v>
      </c>
      <c r="F29" s="9" t="n">
        <f aca="false">E29/SUMIFS('Site-months'!$I$2:$I$512,'Site-months'!$A$2:$A$512,A29)</f>
        <v>0.295538836019048</v>
      </c>
      <c r="G29" s="8" t="n">
        <v>204594</v>
      </c>
      <c r="H29" s="9" t="n">
        <f aca="false">G29/SUMIFS('Site-months'!$I$2:$I$512,'Site-months'!$A$2:$A$512,A29)</f>
        <v>0.306089199342323</v>
      </c>
      <c r="I29" s="10" t="n">
        <f aca="false">G29/E29-1</f>
        <v>0.0356987374836744</v>
      </c>
      <c r="J29" s="10" t="n">
        <v>0.0318</v>
      </c>
      <c r="K29" s="10" t="n">
        <f aca="false">G29/SUMIFS('Site-months'!$N$2:$N$512,'Site-months'!$A$2:$A$512,A29)-1</f>
        <v>0.00412754658827108</v>
      </c>
    </row>
    <row r="30" customFormat="false" ht="15" hidden="false" customHeight="false" outlineLevel="0" collapsed="false">
      <c r="A30" s="2" t="s">
        <v>313</v>
      </c>
      <c r="B30" s="2" t="n">
        <v>8</v>
      </c>
      <c r="C30" s="2" t="s">
        <v>48</v>
      </c>
      <c r="D30" s="2" t="s">
        <v>60</v>
      </c>
      <c r="E30" s="8" t="n">
        <v>55645</v>
      </c>
      <c r="F30" s="9" t="n">
        <f aca="false">E30/SUMIFS('Site-months'!$I$2:$I$512,'Site-months'!$A$2:$A$512,A30)</f>
        <v>0.342643735490982</v>
      </c>
      <c r="G30" s="8" t="n">
        <v>54822</v>
      </c>
      <c r="H30" s="9" t="n">
        <f aca="false">G30/SUMIFS('Site-months'!$I$2:$I$512,'Site-months'!$A$2:$A$512,A30)</f>
        <v>0.337575970295384</v>
      </c>
      <c r="I30" s="10" t="n">
        <f aca="false">G30/E30-1</f>
        <v>-0.0147901877976457</v>
      </c>
      <c r="J30" s="10" t="n">
        <v>0.0293</v>
      </c>
      <c r="K30" s="10" t="n">
        <f aca="false">G30/SUMIFS('Site-months'!$N$2:$N$512,'Site-months'!$A$2:$A$512,A30)-1</f>
        <v>0.000894601354682001</v>
      </c>
    </row>
    <row r="31" customFormat="false" ht="15" hidden="false" customHeight="false" outlineLevel="0" collapsed="false">
      <c r="A31" s="2" t="s">
        <v>317</v>
      </c>
      <c r="B31" s="2" t="n">
        <v>19</v>
      </c>
      <c r="C31" s="2" t="s">
        <v>38</v>
      </c>
      <c r="D31" s="2" t="s">
        <v>68</v>
      </c>
      <c r="E31" s="8" t="n">
        <v>762004</v>
      </c>
      <c r="F31" s="9" t="n">
        <f aca="false">E31/SUMIFS('Site-months'!$I$2:$I$512,'Site-months'!$A$2:$A$512,A31)</f>
        <v>0.318803180651677</v>
      </c>
      <c r="G31" s="8" t="n">
        <v>736360</v>
      </c>
      <c r="H31" s="9" t="n">
        <f aca="false">G31/SUMIFS('Site-months'!$I$2:$I$512,'Site-months'!$A$2:$A$512,A31)</f>
        <v>0.308074380324341</v>
      </c>
      <c r="I31" s="10" t="n">
        <f aca="false">G31/E31-1</f>
        <v>-0.033653366648994</v>
      </c>
      <c r="J31" s="10" t="n">
        <v>0.0638</v>
      </c>
      <c r="K31" s="10" t="n">
        <f aca="false">G31/SUMIFS('Site-months'!$N$2:$N$512,'Site-months'!$A$2:$A$512,A31)-1</f>
        <v>-0.0206975980253297</v>
      </c>
    </row>
    <row r="32" customFormat="false" ht="15" hidden="false" customHeight="false" outlineLevel="0" collapsed="false">
      <c r="A32" s="2" t="s">
        <v>324</v>
      </c>
      <c r="B32" s="2" t="n">
        <v>13</v>
      </c>
      <c r="C32" s="2" t="s">
        <v>54</v>
      </c>
      <c r="D32" s="2" t="s">
        <v>68</v>
      </c>
      <c r="E32" s="8" t="n">
        <v>413020</v>
      </c>
      <c r="F32" s="9" t="n">
        <f aca="false">E32/SUMIFS('Site-months'!$I$2:$I$512,'Site-months'!$A$2:$A$512,A32)</f>
        <v>0.333136794830742</v>
      </c>
      <c r="G32" s="8" t="n">
        <v>423498</v>
      </c>
      <c r="H32" s="9" t="n">
        <f aca="false">G32/SUMIFS('Site-months'!$I$2:$I$512,'Site-months'!$A$2:$A$512,A32)</f>
        <v>0.341588219304705</v>
      </c>
      <c r="I32" s="10" t="n">
        <f aca="false">G32/E32-1</f>
        <v>0.0253692315142124</v>
      </c>
      <c r="J32" s="10" t="n">
        <v>0.0452</v>
      </c>
      <c r="K32" s="10" t="n">
        <f aca="false">G32/SUMIFS('Site-months'!$N$2:$N$512,'Site-months'!$A$2:$A$512,A32)-1</f>
        <v>0.0253046876134861</v>
      </c>
    </row>
    <row r="33" customFormat="false" ht="15" hidden="false" customHeight="false" outlineLevel="0" collapsed="false">
      <c r="A33" s="2" t="s">
        <v>333</v>
      </c>
      <c r="B33" s="2" t="n">
        <v>8</v>
      </c>
      <c r="C33" s="2" t="s">
        <v>60</v>
      </c>
      <c r="D33" s="2" t="s">
        <v>68</v>
      </c>
      <c r="E33" s="8" t="n">
        <v>179361</v>
      </c>
      <c r="F33" s="9" t="n">
        <f aca="false">E33/SUMIFS('Site-months'!$I$2:$I$512,'Site-months'!$A$2:$A$512,A33)</f>
        <v>0.334310014146961</v>
      </c>
      <c r="G33" s="8" t="n">
        <v>177409</v>
      </c>
      <c r="H33" s="9" t="n">
        <f aca="false">G33/SUMIFS('Site-months'!$I$2:$I$512,'Site-months'!$A$2:$A$512,A33)</f>
        <v>0.330671691726731</v>
      </c>
      <c r="I33" s="10" t="n">
        <f aca="false">G33/E33-1</f>
        <v>-0.01088307937623</v>
      </c>
      <c r="J33" s="10" t="n">
        <v>0.0685</v>
      </c>
      <c r="K33" s="10" t="n">
        <f aca="false">G33/SUMIFS('Site-months'!$N$2:$N$512,'Site-months'!$A$2:$A$512,A33)-1</f>
        <v>-0.03721773296358</v>
      </c>
    </row>
    <row r="34" customFormat="false" ht="15" hidden="false" customHeight="false" outlineLevel="0" collapsed="false">
      <c r="A34" s="2" t="s">
        <v>344</v>
      </c>
      <c r="B34" s="2" t="n">
        <v>16</v>
      </c>
      <c r="C34" s="2" t="s">
        <v>50</v>
      </c>
      <c r="D34" s="2" t="s">
        <v>68</v>
      </c>
      <c r="E34" s="8" t="n">
        <v>474440</v>
      </c>
      <c r="F34" s="9" t="n">
        <f aca="false">E34/SUMIFS('Site-months'!$I$2:$I$512,'Site-months'!$A$2:$A$512,A34)</f>
        <v>0.343597665413047</v>
      </c>
      <c r="G34" s="8" t="n">
        <v>452820</v>
      </c>
      <c r="H34" s="9" t="n">
        <f aca="false">G34/SUMIFS('Site-months'!$I$2:$I$512,'Site-months'!$A$2:$A$512,A34)</f>
        <v>0.327940086949532</v>
      </c>
      <c r="I34" s="10" t="n">
        <f aca="false">G34/E34-1</f>
        <v>-0.0455695135317427</v>
      </c>
      <c r="J34" s="10" t="n">
        <v>0.046</v>
      </c>
      <c r="K34" s="10" t="n">
        <f aca="false">G34/SUMIFS('Site-months'!$N$2:$N$512,'Site-months'!$A$2:$A$512,A34)-1</f>
        <v>0.0109191412031817</v>
      </c>
    </row>
    <row r="35" customFormat="false" ht="15" hidden="false" customHeight="false" outlineLevel="0" collapsed="false">
      <c r="A35" s="2" t="s">
        <v>353</v>
      </c>
      <c r="B35" s="2" t="n">
        <v>18</v>
      </c>
      <c r="C35" s="2" t="s">
        <v>48</v>
      </c>
      <c r="D35" s="2" t="s">
        <v>68</v>
      </c>
      <c r="E35" s="8" t="n">
        <v>3439271</v>
      </c>
      <c r="F35" s="9" t="n">
        <f aca="false">E35/SUMIFS('Site-months'!$I$2:$I$512,'Site-months'!$A$2:$A$512,A35)</f>
        <v>0.286763254105419</v>
      </c>
      <c r="G35" s="8" t="n">
        <v>3585076</v>
      </c>
      <c r="H35" s="9" t="n">
        <f aca="false">G35/SUMIFS('Site-months'!$I$2:$I$512,'Site-months'!$A$2:$A$512,A35)</f>
        <v>0.298920340960407</v>
      </c>
      <c r="I35" s="10" t="n">
        <f aca="false">G35/E35-1</f>
        <v>0.0423941585295256</v>
      </c>
      <c r="J35" s="10" t="n">
        <v>0.0457</v>
      </c>
      <c r="K35" s="10" t="n">
        <f aca="false">G35/SUMIFS('Site-months'!$N$2:$N$512,'Site-months'!$A$2:$A$512,A35)-1</f>
        <v>0.00128698259557125</v>
      </c>
    </row>
    <row r="36" customFormat="false" ht="15" hidden="false" customHeight="false" outlineLevel="0" collapsed="false">
      <c r="A36" s="2" t="s">
        <v>358</v>
      </c>
      <c r="B36" s="2" t="n">
        <v>20</v>
      </c>
      <c r="C36" s="2" t="s">
        <v>44</v>
      </c>
      <c r="D36" s="2" t="s">
        <v>68</v>
      </c>
      <c r="E36" s="8" t="n">
        <v>45712</v>
      </c>
      <c r="F36" s="9" t="n">
        <f aca="false">E36/SUMIFS('Site-months'!$I$2:$I$512,'Site-months'!$A$2:$A$512,A36)</f>
        <v>0.524581133807666</v>
      </c>
      <c r="G36" s="8" t="n">
        <v>48917</v>
      </c>
      <c r="H36" s="9" t="n">
        <f aca="false">G36/SUMIFS('Site-months'!$I$2:$I$512,'Site-months'!$A$2:$A$512,A36)</f>
        <v>0.561361028230434</v>
      </c>
      <c r="I36" s="10" t="n">
        <f aca="false">G36/E36-1</f>
        <v>0.0701128806440321</v>
      </c>
      <c r="J36" s="10" t="n">
        <v>0.0958</v>
      </c>
      <c r="K36" s="10" t="n">
        <f aca="false">G36/SUMIFS('Site-months'!$N$2:$N$512,'Site-months'!$A$2:$A$512,A36)-1</f>
        <v>0.00206899377253356</v>
      </c>
    </row>
    <row r="37" customFormat="false" ht="15" hidden="false" customHeight="false" outlineLevel="0" collapsed="false">
      <c r="A37" s="2" t="s">
        <v>360</v>
      </c>
      <c r="B37" s="2" t="n">
        <v>21</v>
      </c>
      <c r="C37" s="2" t="s">
        <v>38</v>
      </c>
      <c r="D37" s="2" t="s">
        <v>68</v>
      </c>
      <c r="E37" s="8" t="n">
        <v>203164</v>
      </c>
      <c r="F37" s="9" t="n">
        <f aca="false">E37/SUMIFS('Site-months'!$I$2:$I$512,'Site-months'!$A$2:$A$512,A37)</f>
        <v>0.368303599754179</v>
      </c>
      <c r="G37" s="8" t="n">
        <v>227570</v>
      </c>
      <c r="H37" s="9" t="n">
        <f aca="false">G37/SUMIFS('Site-months'!$I$2:$I$512,'Site-months'!$A$2:$A$512,A37)</f>
        <v>0.412547745644201</v>
      </c>
      <c r="I37" s="10" t="n">
        <f aca="false">G37/E37-1</f>
        <v>0.120129550510917</v>
      </c>
      <c r="J37" s="10" t="n">
        <v>0.0999</v>
      </c>
      <c r="K37" s="10" t="n">
        <f aca="false">G37/SUMIFS('Site-months'!$N$2:$N$512,'Site-months'!$A$2:$A$512,A37)-1</f>
        <v>0.103969185691139</v>
      </c>
    </row>
    <row r="38" customFormat="false" ht="15" hidden="false" customHeight="false" outlineLevel="0" collapsed="false">
      <c r="A38" s="2" t="s">
        <v>373</v>
      </c>
      <c r="B38" s="2" t="n">
        <v>21</v>
      </c>
      <c r="C38" s="2" t="s">
        <v>38</v>
      </c>
      <c r="D38" s="2" t="s">
        <v>68</v>
      </c>
      <c r="E38" s="8" t="n">
        <v>1737049</v>
      </c>
      <c r="F38" s="9" t="n">
        <f aca="false">E38/SUMIFS('Site-months'!$I$2:$I$512,'Site-months'!$A$2:$A$512,A38)</f>
        <v>0.28144450028889</v>
      </c>
      <c r="G38" s="8" t="n">
        <v>1802994</v>
      </c>
      <c r="H38" s="9" t="n">
        <f aca="false">G38/SUMIFS('Site-months'!$I$2:$I$512,'Site-months'!$A$2:$A$512,A38)</f>
        <v>0.292129206115582</v>
      </c>
      <c r="I38" s="10" t="n">
        <f aca="false">G38/E38-1</f>
        <v>0.0379638110381457</v>
      </c>
      <c r="J38" s="10" t="n">
        <v>0.0337</v>
      </c>
      <c r="K38" s="10" t="n">
        <f aca="false">G38/SUMIFS('Site-months'!$N$2:$N$512,'Site-months'!$A$2:$A$512,A38)-1</f>
        <v>0.00329982682864949</v>
      </c>
    </row>
  </sheetData>
  <autoFilter ref="A1:K38"/>
  <conditionalFormatting sqref="I2:I38">
    <cfRule type="cellIs" priority="2" operator="greaterThan" aboveAverage="0" equalAverage="0" bottom="0" percent="0" rank="0" text="" dxfId="5">
      <formula>0.1</formula>
    </cfRule>
    <cfRule type="cellIs" priority="3" operator="lessThan" aboveAverage="0" equalAverage="0" bottom="0" percent="0" rank="0" text="" dxfId="5">
      <formula>-0.1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17"/>
    <col collapsed="false" customWidth="true" hidden="false" outlineLevel="0" max="4" min="4" style="0" width="15"/>
    <col collapsed="false" customWidth="true" hidden="false" outlineLevel="0" max="5" min="5" style="0" width="14"/>
    <col collapsed="false" customWidth="true" hidden="false" outlineLevel="0" max="6" min="6" style="0" width="16"/>
    <col collapsed="false" customWidth="true" hidden="false" outlineLevel="0" max="8" min="7" style="0" width="13"/>
  </cols>
  <sheetData>
    <row r="1" customFormat="false" ht="42" hidden="false" customHeight="true" outlineLevel="0" collapsed="false">
      <c r="A1" s="7" t="s">
        <v>17</v>
      </c>
      <c r="B1" s="7" t="s">
        <v>2</v>
      </c>
      <c r="C1" s="7" t="s">
        <v>23</v>
      </c>
      <c r="D1" s="7" t="s">
        <v>24</v>
      </c>
      <c r="E1" s="7" t="s">
        <v>25</v>
      </c>
      <c r="F1" s="7" t="s">
        <v>27</v>
      </c>
      <c r="G1" s="7" t="s">
        <v>28</v>
      </c>
      <c r="H1" s="7" t="s">
        <v>392</v>
      </c>
    </row>
    <row r="2" customFormat="false" ht="15" hidden="false" customHeight="false" outlineLevel="0" collapsed="false">
      <c r="A2" s="2" t="s">
        <v>38</v>
      </c>
      <c r="B2" s="2" t="n">
        <v>16</v>
      </c>
      <c r="C2" s="8" t="n">
        <v>341288</v>
      </c>
      <c r="D2" s="8" t="n">
        <v>877354</v>
      </c>
      <c r="E2" s="9" t="n">
        <f aca="false">C2/D2</f>
        <v>0.388996915726149</v>
      </c>
      <c r="F2" s="8" t="n">
        <v>332395</v>
      </c>
      <c r="G2" s="9" t="n">
        <f aca="false">F2/D2</f>
        <v>0.37886075631957</v>
      </c>
      <c r="H2" s="10" t="n">
        <f aca="false">F2/C2-1</f>
        <v>-0.0260571716556105</v>
      </c>
    </row>
    <row r="3" customFormat="false" ht="15" hidden="false" customHeight="false" outlineLevel="0" collapsed="false">
      <c r="A3" s="2" t="s">
        <v>44</v>
      </c>
      <c r="B3" s="2" t="n">
        <v>18</v>
      </c>
      <c r="C3" s="8" t="n">
        <v>447147</v>
      </c>
      <c r="D3" s="8" t="n">
        <v>1159654</v>
      </c>
      <c r="E3" s="9" t="n">
        <f aca="false">C3/D3</f>
        <v>0.385586562888586</v>
      </c>
      <c r="F3" s="8" t="n">
        <v>423700</v>
      </c>
      <c r="G3" s="9" t="n">
        <f aca="false">F3/D3</f>
        <v>0.365367601025823</v>
      </c>
      <c r="H3" s="10" t="n">
        <f aca="false">F3/C3-1</f>
        <v>-0.0524368943546529</v>
      </c>
    </row>
    <row r="4" customFormat="false" ht="15" hidden="false" customHeight="false" outlineLevel="0" collapsed="false">
      <c r="A4" s="2" t="s">
        <v>46</v>
      </c>
      <c r="B4" s="2" t="n">
        <v>20</v>
      </c>
      <c r="C4" s="8" t="n">
        <v>611082</v>
      </c>
      <c r="D4" s="8" t="n">
        <v>1823736</v>
      </c>
      <c r="E4" s="9" t="n">
        <f aca="false">C4/D4</f>
        <v>0.335071523509982</v>
      </c>
      <c r="F4" s="8" t="n">
        <v>619448</v>
      </c>
      <c r="G4" s="9" t="n">
        <f aca="false">F4/D4</f>
        <v>0.339658810266398</v>
      </c>
      <c r="H4" s="10" t="n">
        <f aca="false">F4/C4-1</f>
        <v>0.0136904703460419</v>
      </c>
    </row>
    <row r="5" customFormat="false" ht="15" hidden="false" customHeight="false" outlineLevel="0" collapsed="false">
      <c r="A5" s="2" t="s">
        <v>48</v>
      </c>
      <c r="B5" s="2" t="n">
        <v>14</v>
      </c>
      <c r="C5" s="8" t="n">
        <v>571930</v>
      </c>
      <c r="D5" s="8" t="n">
        <v>1856913</v>
      </c>
      <c r="E5" s="9" t="n">
        <f aca="false">C5/D5</f>
        <v>0.308000428668441</v>
      </c>
      <c r="F5" s="8" t="n">
        <v>581766</v>
      </c>
      <c r="G5" s="9" t="n">
        <f aca="false">F5/D5</f>
        <v>0.313297391961821</v>
      </c>
      <c r="H5" s="10" t="n">
        <f aca="false">F5/C5-1</f>
        <v>0.0171979088349974</v>
      </c>
    </row>
    <row r="6" customFormat="false" ht="15" hidden="false" customHeight="false" outlineLevel="0" collapsed="false">
      <c r="A6" s="2" t="s">
        <v>76</v>
      </c>
      <c r="B6" s="2" t="n">
        <v>18</v>
      </c>
      <c r="C6" s="8" t="n">
        <v>1436423</v>
      </c>
      <c r="D6" s="8" t="n">
        <v>4435092</v>
      </c>
      <c r="E6" s="9" t="n">
        <f aca="false">C6/D6</f>
        <v>0.32387670875824</v>
      </c>
      <c r="F6" s="8" t="n">
        <v>1371372</v>
      </c>
      <c r="G6" s="9" t="n">
        <f aca="false">F6/D6</f>
        <v>0.309209369275767</v>
      </c>
      <c r="H6" s="10" t="n">
        <f aca="false">F6/C6-1</f>
        <v>-0.0452867992227917</v>
      </c>
    </row>
    <row r="7" customFormat="false" ht="15" hidden="false" customHeight="false" outlineLevel="0" collapsed="false">
      <c r="A7" s="2" t="s">
        <v>50</v>
      </c>
      <c r="B7" s="2" t="n">
        <v>23</v>
      </c>
      <c r="C7" s="8" t="n">
        <v>1726352</v>
      </c>
      <c r="D7" s="8" t="n">
        <v>5393469</v>
      </c>
      <c r="E7" s="9" t="n">
        <f aca="false">C7/D7</f>
        <v>0.320081936134239</v>
      </c>
      <c r="F7" s="8" t="n">
        <v>1674459</v>
      </c>
      <c r="G7" s="9" t="n">
        <f aca="false">F7/D7</f>
        <v>0.31046048470845</v>
      </c>
      <c r="H7" s="10" t="n">
        <f aca="false">F7/C7-1</f>
        <v>-0.0300593389992307</v>
      </c>
    </row>
    <row r="8" customFormat="false" ht="15" hidden="false" customHeight="false" outlineLevel="0" collapsed="false">
      <c r="A8" s="2" t="s">
        <v>52</v>
      </c>
      <c r="B8" s="2" t="n">
        <v>21</v>
      </c>
      <c r="C8" s="8" t="n">
        <v>1653154</v>
      </c>
      <c r="D8" s="8" t="n">
        <v>5380815</v>
      </c>
      <c r="E8" s="9" t="n">
        <f aca="false">C8/D8</f>
        <v>0.30723115364494</v>
      </c>
      <c r="F8" s="8" t="n">
        <v>1639479</v>
      </c>
      <c r="G8" s="9" t="n">
        <f aca="false">F8/D8</f>
        <v>0.304689717078175</v>
      </c>
      <c r="H8" s="10" t="n">
        <f aca="false">F8/C8-1</f>
        <v>-0.00827206660722468</v>
      </c>
    </row>
    <row r="9" customFormat="false" ht="15" hidden="false" customHeight="false" outlineLevel="0" collapsed="false">
      <c r="A9" s="2" t="s">
        <v>53</v>
      </c>
      <c r="B9" s="2" t="n">
        <v>22</v>
      </c>
      <c r="C9" s="8" t="n">
        <v>1835398</v>
      </c>
      <c r="D9" s="8" t="n">
        <v>6218568</v>
      </c>
      <c r="E9" s="9" t="n">
        <f aca="false">C9/D9</f>
        <v>0.295148014784111</v>
      </c>
      <c r="F9" s="8" t="n">
        <v>1869079</v>
      </c>
      <c r="G9" s="9" t="n">
        <f aca="false">F9/D9</f>
        <v>0.300564213497384</v>
      </c>
      <c r="H9" s="10" t="n">
        <f aca="false">F9/C9-1</f>
        <v>0.0183507882214102</v>
      </c>
    </row>
    <row r="10" customFormat="false" ht="15" hidden="false" customHeight="false" outlineLevel="0" collapsed="false">
      <c r="A10" s="2" t="s">
        <v>54</v>
      </c>
      <c r="B10" s="2" t="n">
        <v>27</v>
      </c>
      <c r="C10" s="8" t="n">
        <v>2106302</v>
      </c>
      <c r="D10" s="8" t="n">
        <v>6934625</v>
      </c>
      <c r="E10" s="9" t="n">
        <f aca="false">C10/D10</f>
        <v>0.303736972078519</v>
      </c>
      <c r="F10" s="8" t="n">
        <v>2118633</v>
      </c>
      <c r="G10" s="9" t="n">
        <f aca="false">F10/D10</f>
        <v>0.305515150422698</v>
      </c>
      <c r="H10" s="10" t="n">
        <f aca="false">F10/C10-1</f>
        <v>0.00585433617781317</v>
      </c>
    </row>
    <row r="11" customFormat="false" ht="15" hidden="false" customHeight="false" outlineLevel="0" collapsed="false">
      <c r="A11" s="2" t="s">
        <v>57</v>
      </c>
      <c r="B11" s="2" t="n">
        <v>27</v>
      </c>
      <c r="C11" s="8" t="n">
        <v>1495534</v>
      </c>
      <c r="D11" s="8" t="n">
        <v>4739478</v>
      </c>
      <c r="E11" s="9" t="n">
        <f aca="false">C11/D11</f>
        <v>0.315548252360281</v>
      </c>
      <c r="F11" s="8" t="n">
        <v>1504769</v>
      </c>
      <c r="G11" s="9" t="n">
        <f aca="false">F11/D11</f>
        <v>0.317496779181167</v>
      </c>
      <c r="H11" s="10" t="n">
        <f aca="false">F11/C11-1</f>
        <v>0.00617505185438771</v>
      </c>
    </row>
    <row r="12" customFormat="false" ht="15" hidden="false" customHeight="false" outlineLevel="0" collapsed="false">
      <c r="A12" s="2" t="s">
        <v>58</v>
      </c>
      <c r="B12" s="2" t="n">
        <v>27</v>
      </c>
      <c r="C12" s="8" t="n">
        <v>1208282</v>
      </c>
      <c r="D12" s="8" t="n">
        <v>3670586</v>
      </c>
      <c r="E12" s="9" t="n">
        <f aca="false">C12/D12</f>
        <v>0.329179591487572</v>
      </c>
      <c r="F12" s="8" t="n">
        <v>1189829</v>
      </c>
      <c r="G12" s="9" t="n">
        <f aca="false">F12/D12</f>
        <v>0.324152328810713</v>
      </c>
      <c r="H12" s="10" t="n">
        <f aca="false">F12/C12-1</f>
        <v>-0.0152720970766758</v>
      </c>
    </row>
    <row r="13" customFormat="false" ht="15" hidden="false" customHeight="false" outlineLevel="0" collapsed="false">
      <c r="A13" s="2" t="s">
        <v>59</v>
      </c>
      <c r="B13" s="2" t="n">
        <v>29</v>
      </c>
      <c r="C13" s="8" t="n">
        <v>1076540</v>
      </c>
      <c r="D13" s="8" t="n">
        <v>3217438</v>
      </c>
      <c r="E13" s="9" t="n">
        <f aca="false">C13/D13</f>
        <v>0.334595414115206</v>
      </c>
      <c r="F13" s="8" t="n">
        <v>1067713</v>
      </c>
      <c r="G13" s="9" t="n">
        <f aca="false">F13/D13</f>
        <v>0.331851926905818</v>
      </c>
      <c r="H13" s="10" t="n">
        <f aca="false">F13/C13-1</f>
        <v>-0.00819941664963675</v>
      </c>
    </row>
    <row r="14" customFormat="false" ht="15" hidden="false" customHeight="false" outlineLevel="0" collapsed="false">
      <c r="A14" s="2" t="s">
        <v>60</v>
      </c>
      <c r="B14" s="2" t="n">
        <v>28</v>
      </c>
      <c r="C14" s="8" t="n">
        <v>786522</v>
      </c>
      <c r="D14" s="8" t="n">
        <v>2347501</v>
      </c>
      <c r="E14" s="9" t="n">
        <f aca="false">C14/D14</f>
        <v>0.335046502642597</v>
      </c>
      <c r="F14" s="8" t="n">
        <v>801184</v>
      </c>
      <c r="G14" s="9" t="n">
        <f aca="false">F14/D14</f>
        <v>0.341292293379215</v>
      </c>
      <c r="H14" s="10" t="n">
        <f aca="false">F14/C14-1</f>
        <v>0.0186415637451973</v>
      </c>
    </row>
    <row r="15" customFormat="false" ht="15" hidden="false" customHeight="false" outlineLevel="0" collapsed="false">
      <c r="A15" s="2" t="s">
        <v>61</v>
      </c>
      <c r="B15" s="2" t="n">
        <v>29</v>
      </c>
      <c r="C15" s="8" t="n">
        <v>1055363</v>
      </c>
      <c r="D15" s="8" t="n">
        <v>3226841</v>
      </c>
      <c r="E15" s="9" t="n">
        <f aca="false">C15/D15</f>
        <v>0.327057639344486</v>
      </c>
      <c r="F15" s="8" t="n">
        <v>1071533</v>
      </c>
      <c r="G15" s="9" t="n">
        <f aca="false">F15/D15</f>
        <v>0.332068732236884</v>
      </c>
      <c r="H15" s="10" t="n">
        <f aca="false">F15/C15-1</f>
        <v>0.0153217423767935</v>
      </c>
    </row>
    <row r="16" customFormat="false" ht="15" hidden="false" customHeight="false" outlineLevel="0" collapsed="false">
      <c r="A16" s="2" t="s">
        <v>62</v>
      </c>
      <c r="B16" s="2" t="n">
        <v>26</v>
      </c>
      <c r="C16" s="8" t="n">
        <v>1141151</v>
      </c>
      <c r="D16" s="8" t="n">
        <v>3603528</v>
      </c>
      <c r="E16" s="9" t="n">
        <f aca="false">C16/D16</f>
        <v>0.316676046363453</v>
      </c>
      <c r="F16" s="8" t="n">
        <v>1189236</v>
      </c>
      <c r="G16" s="9" t="n">
        <f aca="false">F16/D16</f>
        <v>0.330019913817792</v>
      </c>
      <c r="H16" s="10" t="n">
        <f aca="false">F16/C16-1</f>
        <v>0.0421372806929143</v>
      </c>
    </row>
    <row r="17" customFormat="false" ht="15" hidden="false" customHeight="false" outlineLevel="0" collapsed="false">
      <c r="A17" s="2" t="s">
        <v>63</v>
      </c>
      <c r="B17" s="2" t="n">
        <v>27</v>
      </c>
      <c r="C17" s="8" t="n">
        <v>1309272</v>
      </c>
      <c r="D17" s="8" t="n">
        <v>4139561</v>
      </c>
      <c r="E17" s="9" t="n">
        <f aca="false">C17/D17</f>
        <v>0.316282813564047</v>
      </c>
      <c r="F17" s="8" t="n">
        <v>1350542</v>
      </c>
      <c r="G17" s="9" t="n">
        <f aca="false">F17/D17</f>
        <v>0.326252469766722</v>
      </c>
      <c r="H17" s="10" t="n">
        <f aca="false">F17/C17-1</f>
        <v>0.0315213339932421</v>
      </c>
    </row>
    <row r="18" customFormat="false" ht="15" hidden="false" customHeight="false" outlineLevel="0" collapsed="false">
      <c r="A18" s="2" t="s">
        <v>64</v>
      </c>
      <c r="B18" s="2" t="n">
        <v>28</v>
      </c>
      <c r="C18" s="8" t="n">
        <v>1933081</v>
      </c>
      <c r="D18" s="8" t="n">
        <v>6288852</v>
      </c>
      <c r="E18" s="9" t="n">
        <f aca="false">C18/D18</f>
        <v>0.307382174043848</v>
      </c>
      <c r="F18" s="8" t="n">
        <v>1985839</v>
      </c>
      <c r="G18" s="9" t="n">
        <f aca="false">F18/D18</f>
        <v>0.31577130452426</v>
      </c>
      <c r="H18" s="10" t="n">
        <f aca="false">F18/C18-1</f>
        <v>0.0272921827900641</v>
      </c>
    </row>
    <row r="19" customFormat="false" ht="15" hidden="false" customHeight="false" outlineLevel="0" collapsed="false">
      <c r="A19" s="2" t="s">
        <v>65</v>
      </c>
      <c r="B19" s="2" t="n">
        <v>28</v>
      </c>
      <c r="C19" s="8" t="n">
        <v>1970713</v>
      </c>
      <c r="D19" s="8" t="n">
        <v>6463658</v>
      </c>
      <c r="E19" s="9" t="n">
        <f aca="false">C19/D19</f>
        <v>0.304891286017917</v>
      </c>
      <c r="F19" s="8" t="n">
        <v>2038882</v>
      </c>
      <c r="G19" s="9" t="n">
        <f aca="false">F19/D19</f>
        <v>0.315437790798956</v>
      </c>
      <c r="H19" s="10" t="n">
        <f aca="false">F19/C19-1</f>
        <v>0.0345910338035016</v>
      </c>
    </row>
    <row r="20" customFormat="false" ht="15" hidden="false" customHeight="false" outlineLevel="0" collapsed="false">
      <c r="A20" s="2" t="s">
        <v>66</v>
      </c>
      <c r="B20" s="2" t="n">
        <v>29</v>
      </c>
      <c r="C20" s="8" t="n">
        <v>2489215</v>
      </c>
      <c r="D20" s="8" t="n">
        <v>8153838</v>
      </c>
      <c r="E20" s="9" t="n">
        <f aca="false">C20/D20</f>
        <v>0.305281390187051</v>
      </c>
      <c r="F20" s="8" t="n">
        <v>2543153</v>
      </c>
      <c r="G20" s="9" t="n">
        <f aca="false">F20/D20</f>
        <v>0.311896434537944</v>
      </c>
      <c r="H20" s="10" t="n">
        <f aca="false">F20/C20-1</f>
        <v>0.0216686786798248</v>
      </c>
    </row>
    <row r="21" customFormat="false" ht="15" hidden="false" customHeight="false" outlineLevel="0" collapsed="false">
      <c r="A21" s="2" t="s">
        <v>67</v>
      </c>
      <c r="B21" s="2" t="n">
        <v>27</v>
      </c>
      <c r="C21" s="8" t="n">
        <v>2958391</v>
      </c>
      <c r="D21" s="8" t="n">
        <v>9766621</v>
      </c>
      <c r="E21" s="9" t="n">
        <f aca="false">C21/D21</f>
        <v>0.302908344656765</v>
      </c>
      <c r="F21" s="8" t="n">
        <v>3038509</v>
      </c>
      <c r="G21" s="9" t="n">
        <f aca="false">F21/D21</f>
        <v>0.311111591204368</v>
      </c>
      <c r="H21" s="10" t="n">
        <f aca="false">F21/C21-1</f>
        <v>0.0270816129443336</v>
      </c>
    </row>
    <row r="22" customFormat="false" ht="15" hidden="false" customHeight="false" outlineLevel="0" collapsed="false">
      <c r="A22" s="2" t="s">
        <v>68</v>
      </c>
      <c r="B22" s="2" t="n">
        <v>27</v>
      </c>
      <c r="C22" s="8" t="n">
        <v>2772867</v>
      </c>
      <c r="D22" s="8" t="n">
        <v>9086474</v>
      </c>
      <c r="E22" s="9" t="n">
        <f aca="false">C22/D22</f>
        <v>0.305164247429751</v>
      </c>
      <c r="F22" s="8" t="n">
        <v>2807720</v>
      </c>
      <c r="G22" s="9" t="n">
        <f aca="false">F22/D22</f>
        <v>0.30899994871498</v>
      </c>
      <c r="H22" s="10" t="n">
        <f aca="false">F22/C22-1</f>
        <v>0.0125693010158801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2026-10-29T06:42:51Z</dcterms:created>
  <dc:creator>openpyxl</dc:creator>
  <dc:description/>
  <dc:language>en-US</dc:language>
  <cp:lastModifiedBy/>
  <dcterms:modified xsi:type="dcterms:W3CDTF">2026-10-29T06:42:51Z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